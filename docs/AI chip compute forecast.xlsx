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 version" sheetId="1" r:id="rId4"/>
  </sheets>
  <definedNames/>
  <calcPr/>
</workbook>
</file>

<file path=xl/sharedStrings.xml><?xml version="1.0" encoding="utf-8"?>
<sst xmlns="http://schemas.openxmlformats.org/spreadsheetml/2006/main" count="245" uniqueCount="151">
  <si>
    <t>AI chip compute forecast</t>
  </si>
  <si>
    <t>Conditioning on high demand for AI chips relative to previous year, similar to 2023 vs 2024 (this seems most strategically important to know first)</t>
  </si>
  <si>
    <t>Display:</t>
  </si>
  <si>
    <t>FP16</t>
  </si>
  <si>
    <r>
      <rPr>
        <rFont val="Arial"/>
        <color theme="1"/>
      </rPr>
      <t xml:space="preserve">- </t>
    </r>
    <r>
      <rPr>
        <rFont val="Arial"/>
        <b/>
        <color theme="1"/>
      </rPr>
      <t>bold</t>
    </r>
    <r>
      <rPr>
        <rFont val="Arial"/>
        <color theme="1"/>
      </rPr>
      <t xml:space="preserve"> signifies high confidence</t>
    </r>
  </si>
  <si>
    <t>Authors: Romeo Dean</t>
  </si>
  <si>
    <t>About: Backend modelling for the more up to date</t>
  </si>
  <si>
    <t>[V2] Compute forecasting supplement</t>
  </si>
  <si>
    <t>Year (End of Year)</t>
  </si>
  <si>
    <t>2021 / subheadings</t>
  </si>
  <si>
    <t>avg growth rate</t>
  </si>
  <si>
    <t>SOURCE(s) / NOTES</t>
  </si>
  <si>
    <t>SOTA Chip (in production)</t>
  </si>
  <si>
    <t>A100</t>
  </si>
  <si>
    <t>H100</t>
  </si>
  <si>
    <t>B100</t>
  </si>
  <si>
    <t>R100</t>
  </si>
  <si>
    <t>X100</t>
  </si>
  <si>
    <t>-</t>
  </si>
  <si>
    <t>https://www.nvidia.com/en-us/data-center/gb200-nvl72/</t>
  </si>
  <si>
    <t>SOTA Chip size (mm^2)</t>
  </si>
  <si>
    <t>FP8 FLOP/s/chip</t>
  </si>
  <si>
    <t>FP16 FLOP/s/chip</t>
  </si>
  <si>
    <t>https://epochai.org/blog/trends-in-machine-learning-hardware</t>
  </si>
  <si>
    <t>FP16 FLOP/s/H100-sized-chip</t>
  </si>
  <si>
    <t>5nm wafer production (12")</t>
  </si>
  <si>
    <t>https://wccftech.com/tsmc-boosts-5nm-production-to-150000-wafers-month-amidst-strong-demand/#:~:text=The%20DigiTimes%20report%20is%20quite,mark%20a%2025%25%20production%20increase.</t>
  </si>
  <si>
    <t>3nm wafer production (12")</t>
  </si>
  <si>
    <t>https://www.patentlyapple.com/2023/12/tsmc-confirms-that-mass-production-of-2nm-processors-will-begin-in-2025-and-will-be-the-most-advanced-in-both-density-and-ene.html#:~:text=key%20cast%20members-,TSMC%20confirms%20that%20Mass%20Production%20of%202nm%20Processors%20will%20begin,both%20density%20and%20energy%20efficiency</t>
  </si>
  <si>
    <t>1.4/2nm wafer production (12")</t>
  </si>
  <si>
    <t>https://www.eejournal.com/article/are-we-ready-for-the-2nm-process-node/#:~:text=TSMC%27s%20forthcoming%202nm%20node—which,2026—will%20feature%20GAA%20FETs., https://www.tweaktown.com/news/94962/tsmc-is-developing-1-4nm-chips-called-a14-that-are-due-to-arrive-around-2027/index.html#:~:text=TSMC%20is%20developing%201.4nm,due%20to%20arrive%20around%202027</t>
  </si>
  <si>
    <t>&lt;=5nm wafer production (12")</t>
  </si>
  <si>
    <t>SUM of previous 3 rows</t>
  </si>
  <si>
    <t>Number of chips per wafer (SOTA chip)</t>
  </si>
  <si>
    <t>Yields will get better but B100 is twice as big as H100</t>
  </si>
  <si>
    <t>Wafer production in chip equivalents</t>
  </si>
  <si>
    <t>Share of &lt;5nm wafer production used for AI chips</t>
  </si>
  <si>
    <t>row 43 (# chips) / row 9*row11 (&lt;=5nm wafers * chips / wafer)</t>
  </si>
  <si>
    <t>SOTA HBM</t>
  </si>
  <si>
    <t>HBM3</t>
  </si>
  <si>
    <t>HBM3E 8-Hi</t>
  </si>
  <si>
    <t>HBM4</t>
  </si>
  <si>
    <t>HBM4E</t>
  </si>
  <si>
    <t>HBM5</t>
  </si>
  <si>
    <t>https://daily.hankooki.com/news/articleView.html?idxno=1046733, https://www.trendforce.com/news/2023/12/08/news-memory-titans-vie-for-control-in-hbm-tech-who-will-shape-the-next-gen/</t>
  </si>
  <si>
    <t>SOTA HBM bandwidth (Bytes/s)</t>
  </si>
  <si>
    <t>HBM production (wafers)</t>
  </si>
  <si>
    <t>HBM capacity (units/wafer)</t>
  </si>
  <si>
    <t>HBM requirement (units/chip)</t>
  </si>
  <si>
    <t>HBM yield</t>
  </si>
  <si>
    <t>first two columns for this HBM section are from a trusted source</t>
  </si>
  <si>
    <t>HBM production (chip-equivalents)</t>
  </si>
  <si>
    <t>https://www.tweaktown.com/news/96399/sk-hynix-says-its-hbm-supply-is-sold-out-for-2024-huge-growth-expected-in-2025/index.html</t>
  </si>
  <si>
    <t>Share of HBM used for AI chips</t>
  </si>
  <si>
    <t>https://www.tweaktown.com/news/94220/sk-hynix-and-samsung-are-both-sold-out-of-their-hbm3-memory-until-2025/index.html</t>
  </si>
  <si>
    <t>HBM market size (Billion USD)</t>
  </si>
  <si>
    <t>https://straitsresearch.com/report/high-bandwidth-memory-market</t>
  </si>
  <si>
    <t>HBM market share (%)</t>
  </si>
  <si>
    <t>SK Hynix</t>
  </si>
  <si>
    <t>https://www.trendforce.com/news/2023/12/08/news-memory-titans-vie-for-control-in-hbm-tech-who-will-shape-the-next-gen/</t>
  </si>
  <si>
    <t>Samsung</t>
  </si>
  <si>
    <t>Micron</t>
  </si>
  <si>
    <t>HBM production (chips)</t>
  </si>
  <si>
    <t>Advanced Packaging capacity (wafers)</t>
  </si>
  <si>
    <t>https://www.trendforce.com/news/2024/02/19/insights-cowos-capacity-shortage-challenges-ai-chip-demand-while-taiwanese-manufacturers-expand-to-seize-opportunities/, https://www.linkedin.com/pulse/tech-news-tsmc-boosts-cowos-capacity-doubling-growth-2024-6kn1c/, https://www.trendforce.com/news/2023/11/13/news-tsmcs-cowos-demand-surges-from-nvidia-apple-amd-broadcom-marvell-monthly-capacity-up-120-in-2024/</t>
  </si>
  <si>
    <t>Market share of Advanced Packaging</t>
  </si>
  <si>
    <t>TSMC (CoWoS)</t>
  </si>
  <si>
    <t>non-TSMC</t>
  </si>
  <si>
    <t>CoWoS yield (chips / wafer)</t>
  </si>
  <si>
    <t>first two columns for this CoWoS section are from a trusted source</t>
  </si>
  <si>
    <t>CoWoS packaging capacity (chips)</t>
  </si>
  <si>
    <t>row 11 (chips / wafer) * row 28 (Cowos wafers)</t>
  </si>
  <si>
    <t>CoWoS for AI (share)</t>
  </si>
  <si>
    <t>guess after frist 2 columns</t>
  </si>
  <si>
    <t>CoWoS for AI (chip equivalents)</t>
  </si>
  <si>
    <t>DRAM production (dies)</t>
  </si>
  <si>
    <t>DRAM dies per chip</t>
  </si>
  <si>
    <t>DRAM used in HBM (dies)</t>
  </si>
  <si>
    <t>Share of DRAM used for HBM</t>
  </si>
  <si>
    <t>Ideas for other potential bottlenecks:</t>
  </si>
  <si>
    <t>Interconnect (e.g. silicon interposers, NVLink)</t>
  </si>
  <si>
    <t>Fab equipment (EUV, DUV, etching)</t>
  </si>
  <si>
    <t>Fab materials (e.g. photoresist)</t>
  </si>
  <si>
    <t>Total production (SOTA chip equivalents)</t>
  </si>
  <si>
    <t xml:space="preserve">We calculate chip production levels in H100-sized rectiles </t>
  </si>
  <si>
    <t>https://www.tomshardware.com/news/nvidia-to-reportedly-triple-output-of-compute-gpus-in-2024-up-to-2-million-h100s, https://www.ft.com/content/c7e9cfa9-3f68-47d3-92fc-7cf85bcb73b3</t>
  </si>
  <si>
    <t>AI chip Market size (Billion USD)</t>
  </si>
  <si>
    <t>Anchored to row 32 with small decrese in profit margins over time due to expected rise in competition</t>
  </si>
  <si>
    <t>Total FP8 FLOP/s produced</t>
  </si>
  <si>
    <t>Total FP16 FLOP/s produced</t>
  </si>
  <si>
    <t>row 5 (FLOP/chip) * row 32 (# chips)</t>
  </si>
  <si>
    <r>
      <rPr>
        <rFont val="Arial, sans-serif"/>
        <color rgb="FF000000"/>
        <sz val="11.0"/>
      </rPr>
      <t xml:space="preserve">Total possible FLOP/year </t>
    </r>
    <r>
      <rPr>
        <rFont val="Arial, sans-serif"/>
        <b/>
        <color rgb="FF000000"/>
        <sz val="11.0"/>
      </rPr>
      <t>non-cumulative</t>
    </r>
  </si>
  <si>
    <t>row 34 (FLOP/s) * 3e7 (s in 1 year)</t>
  </si>
  <si>
    <r>
      <rPr>
        <rFont val="Arial, sans-serif"/>
        <color rgb="FF000000"/>
        <sz val="11.0"/>
      </rPr>
      <t xml:space="preserve">Total </t>
    </r>
    <r>
      <rPr>
        <rFont val="Arial, sans-serif"/>
        <b/>
        <color rgb="FF000000"/>
        <sz val="11.0"/>
      </rPr>
      <t>cumulative</t>
    </r>
    <r>
      <rPr>
        <rFont val="Arial, sans-serif"/>
        <color rgb="FF000000"/>
        <sz val="11.0"/>
      </rPr>
      <t xml:space="preserve"> compute rate available (FLOP/year)</t>
    </r>
  </si>
  <si>
    <t>current year FLOP (cell above) + cumulative FLOP prev year (cell to the left)</t>
  </si>
  <si>
    <t>Peak power consumption (W per SOTA chip in datacenter)</t>
  </si>
  <si>
    <t>https://epochai.org/blog/trends-in-machine-learning-hardware, https://www.tomshardware.com/pc-components/gpus/nvidia-rubin-revealed-as-blackwell-successor-powerful-vera-cpu-coming-too</t>
  </si>
  <si>
    <t>Power efficiency (petaFLOP/s/kW)</t>
  </si>
  <si>
    <t>Total AI datacenter power demand</t>
  </si>
  <si>
    <t>Implied FLOP/s/$</t>
  </si>
  <si>
    <t>EPOCHAI FLOP/s/$</t>
  </si>
  <si>
    <t>https://epochai.org/blog/trends-in-gpu-price-performance</t>
  </si>
  <si>
    <t>FLOP (fixing 2023/4 growth rate, think of this as ~upper bound)</t>
  </si>
  <si>
    <t>This assumes that the market growth rate from 2023-2024 will remain constant through 2030</t>
  </si>
  <si>
    <t>Lab breakdown % AI chip share (avg for the period)</t>
  </si>
  <si>
    <t>OAI</t>
  </si>
  <si>
    <t>Guess, based of thinking that OAI had about 300,000 H100 equivalents at EOY 2023, about 700k by EOY 2024 and then just assume 15% will be a rough ceiling</t>
  </si>
  <si>
    <t>Deepmind</t>
  </si>
  <si>
    <t>Guess, based of thinking that Google had about 600,000 H100 equivalents at EOY 2023, about 1,000,000 by EOY 2024 and then just assume 20% will be a rough ceiling</t>
  </si>
  <si>
    <t>Anthropic</t>
  </si>
  <si>
    <t>Guess, based of thinking that Meta had about 400,000 H100 equivalents at EOY 2023, about 700k by EOY 2024 and then just assume 15% will be a rough ceiling</t>
  </si>
  <si>
    <t>Others</t>
  </si>
  <si>
    <t>External Inference cost ($)</t>
  </si>
  <si>
    <t>OpenAI</t>
  </si>
  <si>
    <t>Guess</t>
  </si>
  <si>
    <t>External Inference FLOP</t>
  </si>
  <si>
    <t>OpenAI (using H100s at 100 petaFLOP / $)</t>
  </si>
  <si>
    <t>https://lambdalabs.com/blog/tesla-a100-server-total-cost-of-ownership,  https://www.techpowerup.com/307922/nvidia-h100-compared-to-a100-for-training-gpt-large-language-models</t>
  </si>
  <si>
    <t>External Inference # chips (10% utilization)</t>
  </si>
  <si>
    <t>OpenAI (using H100s)</t>
  </si>
  <si>
    <t>Inference FLOP (row 43) / FLOP per chip (row 5 * 3.1e7 * 0.4)</t>
  </si>
  <si>
    <t>External Inference FLOP (% total compute)</t>
  </si>
  <si>
    <t>Frontier lab</t>
  </si>
  <si>
    <t>Inference FLOP (row 43) / FLOP (row 46)</t>
  </si>
  <si>
    <t>Training compute at EOY (assuming lab's dedicate 50% of total compute to training)</t>
  </si>
  <si>
    <t>FLOP (row 36) * Share (row 39)</t>
  </si>
  <si>
    <t>FLOP (row 36) * Share (row 40)</t>
  </si>
  <si>
    <t>FLOP (row 36) * Share (row 41)</t>
  </si>
  <si>
    <t>Energy analysis (assumes energy efficiency improves at 1.25x per year, from EpochAI)</t>
  </si>
  <si>
    <t>Total US capacity (GW)</t>
  </si>
  <si>
    <t>Energy consumption of frontier training run (GWh)</t>
  </si>
  <si>
    <t>https://www.ri.se/en/news/blog/generative-ai-does-not-run-on-thin-air#:~:text=The%20Cost%20of%20Training%20GPT%2D4&amp;text=OpenAI%20has%20revealed%20that%20it,of%20energy%20usage%20during%20training.</t>
  </si>
  <si>
    <t>Power use of frontier training run (GW)</t>
  </si>
  <si>
    <t>Energy efficiency of chips (FLOP/s/W)</t>
  </si>
  <si>
    <t>Energy efficiency ratio to A100</t>
  </si>
  <si>
    <t>https://view.officeapps.live.com/op/view.aspx?src=https%3A%2F%2Firds.ieee.org%2Fimages%2Ffiles%2Fpdf%2F2022%2F2022IRDS_MM_Tables.xlsx&amp;wdOrigin=BROWSELINK</t>
  </si>
  <si>
    <t>Share of US energy production (%)</t>
  </si>
  <si>
    <t>How many Palo Verde's do you need?</t>
  </si>
  <si>
    <t>https://en.wikipedia.org/wiki/List_of_largest_power_stations_in_the_United_States, https://en.wikipedia.org/wiki/Palo_Verde_Nuclear_Generating_Station</t>
  </si>
  <si>
    <t>OpenMind training run 'upper bound' starting at end of the period (using 50% of compute for 6 months at 40% utilization)</t>
  </si>
  <si>
    <t>Compute used (FLOP)</t>
  </si>
  <si>
    <t>0.1*0.4*0.5*FLOP (row 48)</t>
  </si>
  <si>
    <t>Ratio to GPT-4</t>
  </si>
  <si>
    <t>FLOP (row 54)  / GPT-4 FLOP (2e25)</t>
  </si>
  <si>
    <t>Expected model</t>
  </si>
  <si>
    <t>GPT-4.5</t>
  </si>
  <si>
    <t>GPT-5</t>
  </si>
  <si>
    <t>GPT-5.5</t>
  </si>
  <si>
    <t>GPT-6</t>
  </si>
  <si>
    <t>GPT-6.5</t>
  </si>
  <si>
    <t>Following 67x per GPT-N -&gt; N+1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</si>
</sst>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&quot;$&quot;* #,##0.00_);_(&quot;$&quot;* \(#,##0.00\);_(&quot;$&quot;* &quot;-&quot;??_);_(@_)"/>
    <numFmt numFmtId="165" formatCode="#,##0.00x"/>
    <numFmt numFmtId="166" formatCode="0E+00"/>
    <numFmt numFmtId="167" formatCode="#,##0.0"/>
    <numFmt numFmtId="168" formatCode="&quot;$&quot;#,##0.0"/>
    <numFmt numFmtId="169" formatCode="&quot;$&quot;#,##0"/>
    <numFmt numFmtId="170" formatCode="[&lt;999950]0.00,&quot;MW&quot;;[&lt;999950000]0.00,,&quot;GW&quot;;0.00,,,&quot;TW&quot;"/>
    <numFmt numFmtId="171" formatCode="0.0%"/>
    <numFmt numFmtId="172" formatCode="#,##0.000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26.0"/>
      <color rgb="FF000000"/>
      <name val="Arial"/>
    </font>
    <font>
      <b/>
      <i/>
      <sz val="11.0"/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u/>
      <color rgb="FF0000FF"/>
    </font>
    <font>
      <b/>
      <sz val="11.0"/>
      <color rgb="FF000000"/>
      <name val="Arial"/>
    </font>
    <font>
      <i/>
      <sz val="11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sz val="10.0"/>
      <color rgb="FF000000"/>
      <name val="Arial"/>
    </font>
    <font>
      <u/>
      <color rgb="FF0000FF"/>
    </font>
    <font/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sz val="22.0"/>
      <color theme="1"/>
      <name val="Arial"/>
    </font>
    <font>
      <color theme="1"/>
      <name val="Arial"/>
    </font>
    <font>
      <u/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7" numFmtId="0" xfId="0" applyFont="1"/>
    <xf borderId="0" fillId="0" fontId="1" numFmtId="164" xfId="0" applyAlignment="1" applyFont="1" applyNumberFormat="1">
      <alignment readingOrder="0"/>
    </xf>
    <xf borderId="5" fillId="0" fontId="6" numFmtId="0" xfId="0" applyAlignment="1" applyBorder="1" applyFont="1">
      <alignment horizontal="left" readingOrder="0" shrinkToFit="0" wrapText="1"/>
    </xf>
    <xf borderId="6" fillId="0" fontId="6" numFmtId="11" xfId="0" applyAlignment="1" applyBorder="1" applyFont="1" applyNumberFormat="1">
      <alignment horizontal="center" readingOrder="0" shrinkToFit="0" wrapText="1"/>
    </xf>
    <xf borderId="6" fillId="0" fontId="6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9" fillId="0" fontId="6" numFmtId="0" xfId="0" applyAlignment="1" applyBorder="1" applyFont="1">
      <alignment horizontal="left" readingOrder="0" shrinkToFit="0" wrapText="1"/>
    </xf>
    <xf borderId="10" fillId="0" fontId="9" numFmtId="11" xfId="0" applyAlignment="1" applyBorder="1" applyFont="1" applyNumberFormat="1">
      <alignment horizontal="left" readingOrder="0" shrinkToFit="0" wrapText="1"/>
    </xf>
    <xf borderId="10" fillId="0" fontId="9" numFmtId="3" xfId="0" applyAlignment="1" applyBorder="1" applyFont="1" applyNumberFormat="1">
      <alignment horizontal="left" readingOrder="0" shrinkToFit="0" wrapText="1"/>
    </xf>
    <xf borderId="10" fillId="0" fontId="6" numFmtId="3" xfId="0" applyAlignment="1" applyBorder="1" applyFont="1" applyNumberFormat="1">
      <alignment horizontal="left" readingOrder="0" shrinkToFit="0" wrapText="1"/>
    </xf>
    <xf borderId="11" fillId="0" fontId="10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10" fillId="0" fontId="6" numFmtId="11" xfId="0" applyAlignment="1" applyBorder="1" applyFont="1" applyNumberFormat="1">
      <alignment horizontal="left" readingOrder="0" shrinkToFit="0" wrapText="1"/>
    </xf>
    <xf borderId="12" fillId="0" fontId="6" numFmtId="0" xfId="0" applyAlignment="1" applyBorder="1" applyFont="1">
      <alignment horizontal="left" readingOrder="0" shrinkToFit="0" wrapText="1"/>
    </xf>
    <xf borderId="13" fillId="0" fontId="9" numFmtId="11" xfId="0" applyAlignment="1" applyBorder="1" applyFont="1" applyNumberFormat="1">
      <alignment horizontal="left" readingOrder="0" shrinkToFit="0" wrapText="1"/>
    </xf>
    <xf borderId="13" fillId="0" fontId="6" numFmtId="11" xfId="0" applyAlignment="1" applyBorder="1" applyFont="1" applyNumberFormat="1">
      <alignment horizontal="left" readingOrder="0" shrinkToFit="0" wrapText="1"/>
    </xf>
    <xf borderId="0" fillId="0" fontId="11" numFmtId="0" xfId="0" applyAlignment="1" applyFont="1">
      <alignment readingOrder="0"/>
    </xf>
    <xf borderId="10" fillId="0" fontId="6" numFmtId="11" xfId="0" applyAlignment="1" applyBorder="1" applyFont="1" applyNumberFormat="1">
      <alignment horizontal="center" readingOrder="0" shrinkToFit="0" wrapText="1"/>
    </xf>
    <xf borderId="6" fillId="0" fontId="9" numFmtId="11" xfId="0" applyAlignment="1" applyBorder="1" applyFont="1" applyNumberFormat="1">
      <alignment horizontal="left" readingOrder="0" shrinkToFit="0" wrapText="1"/>
    </xf>
    <xf borderId="6" fillId="0" fontId="6" numFmtId="11" xfId="0" applyAlignment="1" applyBorder="1" applyFont="1" applyNumberFormat="1">
      <alignment horizontal="left" readingOrder="0" shrinkToFit="0" wrapText="1"/>
    </xf>
    <xf borderId="7" fillId="0" fontId="6" numFmtId="11" xfId="0" applyAlignment="1" applyBorder="1" applyFont="1" applyNumberFormat="1">
      <alignment horizontal="left" readingOrder="0" shrinkToFit="0" wrapText="1"/>
    </xf>
    <xf borderId="8" fillId="0" fontId="10" numFmtId="165" xfId="0" applyAlignment="1" applyBorder="1" applyFont="1" applyNumberFormat="1">
      <alignment horizontal="center" readingOrder="0"/>
    </xf>
    <xf borderId="14" fillId="0" fontId="6" numFmtId="0" xfId="0" applyAlignment="1" applyBorder="1" applyFont="1">
      <alignment horizontal="left" readingOrder="0" shrinkToFit="0" wrapText="1"/>
    </xf>
    <xf borderId="15" fillId="0" fontId="6" numFmtId="11" xfId="0" applyAlignment="1" applyBorder="1" applyFont="1" applyNumberFormat="1">
      <alignment horizontal="center" readingOrder="0" shrinkToFit="0" wrapText="1"/>
    </xf>
    <xf borderId="15" fillId="0" fontId="9" numFmtId="11" xfId="0" applyAlignment="1" applyBorder="1" applyFont="1" applyNumberFormat="1">
      <alignment horizontal="left" readingOrder="0" shrinkToFit="0" wrapText="1"/>
    </xf>
    <xf borderId="15" fillId="0" fontId="6" numFmtId="11" xfId="0" applyAlignment="1" applyBorder="1" applyFont="1" applyNumberFormat="1">
      <alignment horizontal="left" readingOrder="0" shrinkToFit="0" wrapText="1"/>
    </xf>
    <xf borderId="16" fillId="0" fontId="6" numFmtId="11" xfId="0" applyAlignment="1" applyBorder="1" applyFont="1" applyNumberFormat="1">
      <alignment horizontal="left" readingOrder="0" shrinkToFit="0" wrapText="1"/>
    </xf>
    <xf borderId="15" fillId="0" fontId="6" numFmtId="166" xfId="0" applyAlignment="1" applyBorder="1" applyFont="1" applyNumberFormat="1">
      <alignment horizontal="center" readingOrder="0" shrinkToFit="0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15" fillId="0" fontId="9" numFmtId="3" xfId="0" applyAlignment="1" applyBorder="1" applyFont="1" applyNumberFormat="1">
      <alignment horizontal="left" readingOrder="0" shrinkToFit="0" wrapText="1"/>
    </xf>
    <xf borderId="15" fillId="0" fontId="6" numFmtId="3" xfId="0" applyAlignment="1" applyBorder="1" applyFont="1" applyNumberFormat="1">
      <alignment horizontal="left" readingOrder="0" shrinkToFit="0" wrapText="1"/>
    </xf>
    <xf borderId="0" fillId="0" fontId="0" numFmtId="0" xfId="0" applyAlignment="1" applyFont="1">
      <alignment readingOrder="0"/>
    </xf>
    <xf borderId="17" fillId="0" fontId="6" numFmtId="0" xfId="0" applyAlignment="1" applyBorder="1" applyFont="1">
      <alignment horizontal="left" readingOrder="0" shrinkToFit="0" wrapText="1"/>
    </xf>
    <xf borderId="18" fillId="0" fontId="6" numFmtId="11" xfId="0" applyAlignment="1" applyBorder="1" applyFont="1" applyNumberFormat="1">
      <alignment horizontal="center" readingOrder="0" shrinkToFit="0" wrapText="1"/>
    </xf>
    <xf borderId="18" fillId="0" fontId="9" numFmtId="11" xfId="0" applyAlignment="1" applyBorder="1" applyFont="1" applyNumberFormat="1">
      <alignment horizontal="left" readingOrder="0" shrinkToFit="0" wrapText="1"/>
    </xf>
    <xf borderId="18" fillId="0" fontId="6" numFmtId="11" xfId="0" applyAlignment="1" applyBorder="1" applyFont="1" applyNumberFormat="1">
      <alignment horizontal="left" readingOrder="0" shrinkToFit="0" wrapText="1"/>
    </xf>
    <xf borderId="18" fillId="0" fontId="9" numFmtId="10" xfId="0" applyAlignment="1" applyBorder="1" applyFont="1" applyNumberFormat="1">
      <alignment horizontal="left" readingOrder="0" shrinkToFit="0" wrapText="1"/>
    </xf>
    <xf borderId="18" fillId="0" fontId="6" numFmtId="10" xfId="0" applyAlignment="1" applyBorder="1" applyFont="1" applyNumberFormat="1">
      <alignment horizontal="left" readingOrder="0" shrinkToFit="0" wrapText="1"/>
    </xf>
    <xf borderId="19" fillId="0" fontId="6" numFmtId="10" xfId="0" applyAlignment="1" applyBorder="1" applyFont="1" applyNumberFormat="1">
      <alignment horizontal="left" readingOrder="0" shrinkToFit="0" wrapText="1"/>
    </xf>
    <xf borderId="0" fillId="0" fontId="13" numFmtId="0" xfId="0" applyAlignment="1" applyFont="1">
      <alignment readingOrder="0"/>
    </xf>
    <xf borderId="15" fillId="0" fontId="9" numFmtId="167" xfId="0" applyAlignment="1" applyBorder="1" applyFont="1" applyNumberFormat="1">
      <alignment horizontal="left" readingOrder="0" shrinkToFit="0" wrapText="1"/>
    </xf>
    <xf borderId="15" fillId="0" fontId="6" numFmtId="167" xfId="0" applyAlignment="1" applyBorder="1" applyFont="1" applyNumberFormat="1">
      <alignment horizontal="left" readingOrder="0" shrinkToFit="0" wrapText="1"/>
    </xf>
    <xf borderId="15" fillId="0" fontId="6" numFmtId="0" xfId="0" applyAlignment="1" applyBorder="1" applyFont="1">
      <alignment horizontal="left" readingOrder="0" shrinkToFit="0" wrapText="1"/>
    </xf>
    <xf borderId="15" fillId="0" fontId="9" numFmtId="9" xfId="0" applyAlignment="1" applyBorder="1" applyFont="1" applyNumberFormat="1">
      <alignment horizontal="left" readingOrder="0" shrinkToFit="0" wrapText="1"/>
    </xf>
    <xf borderId="15" fillId="0" fontId="6" numFmtId="9" xfId="0" applyAlignment="1" applyBorder="1" applyFont="1" applyNumberFormat="1">
      <alignment horizontal="left" readingOrder="0" shrinkToFit="0" wrapText="1"/>
    </xf>
    <xf borderId="14" fillId="2" fontId="6" numFmtId="0" xfId="0" applyAlignment="1" applyBorder="1" applyFill="1" applyFont="1">
      <alignment horizontal="left" readingOrder="0" shrinkToFit="0" wrapText="1"/>
    </xf>
    <xf borderId="15" fillId="2" fontId="6" numFmtId="11" xfId="0" applyAlignment="1" applyBorder="1" applyFont="1" applyNumberFormat="1">
      <alignment horizontal="center" readingOrder="0" shrinkToFit="0" wrapText="1"/>
    </xf>
    <xf borderId="15" fillId="2" fontId="9" numFmtId="11" xfId="0" applyAlignment="1" applyBorder="1" applyFont="1" applyNumberFormat="1">
      <alignment horizontal="left" readingOrder="0" shrinkToFit="0" wrapText="1"/>
    </xf>
    <xf borderId="15" fillId="2" fontId="6" numFmtId="11" xfId="0" applyAlignment="1" applyBorder="1" applyFont="1" applyNumberFormat="1">
      <alignment horizontal="left" readingOrder="0" shrinkToFit="0" wrapText="1"/>
    </xf>
    <xf borderId="14" fillId="0" fontId="6" numFmtId="0" xfId="0" applyAlignment="1" applyBorder="1" applyFont="1">
      <alignment horizontal="left" readingOrder="0" shrinkToFit="0" vertical="center" wrapText="1"/>
    </xf>
    <xf borderId="15" fillId="0" fontId="6" numFmtId="10" xfId="0" applyAlignment="1" applyBorder="1" applyFont="1" applyNumberFormat="1">
      <alignment horizontal="left" readingOrder="0" shrinkToFit="0" wrapText="1"/>
    </xf>
    <xf borderId="0" fillId="0" fontId="14" numFmtId="0" xfId="0" applyAlignment="1" applyFont="1">
      <alignment readingOrder="0"/>
    </xf>
    <xf borderId="15" fillId="0" fontId="6" numFmtId="168" xfId="0" applyAlignment="1" applyBorder="1" applyFont="1" applyNumberFormat="1">
      <alignment horizontal="left" readingOrder="0" shrinkToFit="0" wrapText="1"/>
    </xf>
    <xf borderId="15" fillId="0" fontId="6" numFmtId="169" xfId="0" applyAlignment="1" applyBorder="1" applyFont="1" applyNumberFormat="1">
      <alignment horizontal="left" readingOrder="0" shrinkToFit="0" wrapText="1"/>
    </xf>
    <xf borderId="16" fillId="0" fontId="6" numFmtId="169" xfId="0" applyAlignment="1" applyBorder="1" applyFont="1" applyNumberFormat="1">
      <alignment horizontal="left" readingOrder="0" shrinkToFit="0" wrapText="1"/>
    </xf>
    <xf borderId="17" fillId="0" fontId="6" numFmtId="0" xfId="0" applyAlignment="1" applyBorder="1" applyFont="1">
      <alignment horizontal="left" readingOrder="0" shrinkToFit="0" vertical="center" wrapText="1"/>
    </xf>
    <xf borderId="15" fillId="0" fontId="15" numFmtId="11" xfId="0" applyAlignment="1" applyBorder="1" applyFont="1" applyNumberFormat="1">
      <alignment horizontal="center" readingOrder="0" shrinkToFit="0" wrapText="1"/>
    </xf>
    <xf borderId="0" fillId="0" fontId="16" numFmtId="0" xfId="0" applyAlignment="1" applyFont="1">
      <alignment readingOrder="0" shrinkToFit="0" vertical="center" wrapText="1"/>
    </xf>
    <xf borderId="9" fillId="0" fontId="17" numFmtId="0" xfId="0" applyBorder="1" applyFont="1"/>
    <xf borderId="20" fillId="0" fontId="17" numFmtId="0" xfId="0" applyBorder="1" applyFont="1"/>
    <xf borderId="21" fillId="0" fontId="17" numFmtId="0" xfId="0" applyBorder="1" applyFont="1"/>
    <xf borderId="13" fillId="0" fontId="15" numFmtId="11" xfId="0" applyAlignment="1" applyBorder="1" applyFont="1" applyNumberFormat="1">
      <alignment horizontal="center" readingOrder="0" shrinkToFit="0" wrapText="1"/>
    </xf>
    <xf borderId="13" fillId="0" fontId="6" numFmtId="11" xfId="0" applyAlignment="1" applyBorder="1" applyFont="1" applyNumberFormat="1">
      <alignment horizontal="center" readingOrder="0" shrinkToFit="0" wrapText="1"/>
    </xf>
    <xf borderId="20" fillId="0" fontId="6" numFmtId="0" xfId="0" applyAlignment="1" applyBorder="1" applyFont="1">
      <alignment horizontal="left" readingOrder="0" shrinkToFit="0" wrapText="1"/>
    </xf>
    <xf borderId="22" fillId="0" fontId="6" numFmtId="11" xfId="0" applyAlignment="1" applyBorder="1" applyFont="1" applyNumberFormat="1">
      <alignment horizontal="center" readingOrder="0" shrinkToFit="0" wrapText="1"/>
    </xf>
    <xf borderId="22" fillId="0" fontId="9" numFmtId="11" xfId="0" applyAlignment="1" applyBorder="1" applyFont="1" applyNumberFormat="1">
      <alignment horizontal="left" readingOrder="0" shrinkToFit="0" wrapText="1"/>
    </xf>
    <xf borderId="22" fillId="0" fontId="6" numFmtId="11" xfId="0" applyAlignment="1" applyBorder="1" applyFont="1" applyNumberFormat="1">
      <alignment horizontal="left" readingOrder="0" shrinkToFit="0" wrapText="1"/>
    </xf>
    <xf borderId="9" fillId="0" fontId="6" numFmtId="0" xfId="0" applyAlignment="1" applyBorder="1" applyFont="1">
      <alignment horizontal="left" readingOrder="0" shrinkToFit="0" vertical="center" wrapText="1"/>
    </xf>
    <xf borderId="22" fillId="0" fontId="9" numFmtId="9" xfId="0" applyAlignment="1" applyBorder="1" applyFont="1" applyNumberFormat="1">
      <alignment horizontal="left" readingOrder="0" shrinkToFit="0" wrapText="1"/>
    </xf>
    <xf borderId="22" fillId="0" fontId="6" numFmtId="9" xfId="0" applyAlignment="1" applyBorder="1" applyFont="1" applyNumberFormat="1">
      <alignment horizontal="left" readingOrder="0" shrinkToFit="0" wrapText="1"/>
    </xf>
    <xf borderId="22" fillId="0" fontId="9" numFmtId="3" xfId="0" applyAlignment="1" applyBorder="1" applyFont="1" applyNumberFormat="1">
      <alignment horizontal="left" readingOrder="0" shrinkToFit="0" wrapText="1"/>
    </xf>
    <xf borderId="22" fillId="0" fontId="6" numFmtId="3" xfId="0" applyAlignment="1" applyBorder="1" applyFont="1" applyNumberFormat="1">
      <alignment horizontal="left" readingOrder="0" shrinkToFit="0" wrapText="1"/>
    </xf>
    <xf borderId="9" fillId="2" fontId="6" numFmtId="0" xfId="0" applyAlignment="1" applyBorder="1" applyFont="1">
      <alignment horizontal="left" readingOrder="0" shrinkToFit="0" wrapText="1"/>
    </xf>
    <xf borderId="10" fillId="2" fontId="6" numFmtId="11" xfId="0" applyAlignment="1" applyBorder="1" applyFont="1" applyNumberFormat="1">
      <alignment horizontal="center" readingOrder="0" shrinkToFit="0" vertical="center" wrapText="1"/>
    </xf>
    <xf borderId="10" fillId="2" fontId="6" numFmtId="11" xfId="0" applyAlignment="1" applyBorder="1" applyFont="1" applyNumberFormat="1">
      <alignment horizontal="center" readingOrder="0" shrinkToFit="0" wrapText="1"/>
    </xf>
    <xf borderId="10" fillId="2" fontId="9" numFmtId="11" xfId="0" applyAlignment="1" applyBorder="1" applyFont="1" applyNumberFormat="1">
      <alignment horizontal="left" readingOrder="0" shrinkToFit="0" wrapText="1"/>
    </xf>
    <xf borderId="10" fillId="2" fontId="6" numFmtId="11" xfId="0" applyAlignment="1" applyBorder="1" applyFont="1" applyNumberFormat="1">
      <alignment horizontal="left" readingOrder="0" shrinkToFit="0" wrapText="1"/>
    </xf>
    <xf borderId="6" fillId="0" fontId="6" numFmtId="11" xfId="0" applyAlignment="1" applyBorder="1" applyFont="1" applyNumberFormat="1">
      <alignment horizontal="center" readingOrder="0" shrinkToFit="0" vertical="center" wrapText="1"/>
    </xf>
    <xf borderId="15" fillId="0" fontId="6" numFmtId="11" xfId="0" applyAlignment="1" applyBorder="1" applyFont="1" applyNumberFormat="1">
      <alignment horizontal="center" readingOrder="0" shrinkToFit="0" vertical="center" wrapText="1"/>
    </xf>
    <xf borderId="15" fillId="0" fontId="6" numFmtId="4" xfId="0" applyAlignment="1" applyBorder="1" applyFont="1" applyNumberFormat="1">
      <alignment horizontal="left" readingOrder="0" shrinkToFit="0" wrapText="1"/>
    </xf>
    <xf borderId="15" fillId="0" fontId="9" numFmtId="10" xfId="0" applyAlignment="1" applyBorder="1" applyFont="1" applyNumberFormat="1">
      <alignment horizontal="left" readingOrder="0" shrinkToFit="0" wrapText="1"/>
    </xf>
    <xf borderId="13" fillId="0" fontId="6" numFmtId="11" xfId="0" applyAlignment="1" applyBorder="1" applyFont="1" applyNumberFormat="1">
      <alignment horizontal="center" readingOrder="0" shrinkToFit="0" vertical="center" wrapText="1"/>
    </xf>
    <xf borderId="13" fillId="0" fontId="6" numFmtId="4" xfId="0" applyAlignment="1" applyBorder="1" applyFont="1" applyNumberFormat="1">
      <alignment horizontal="left" readingOrder="0" shrinkToFit="0" wrapText="1"/>
    </xf>
    <xf borderId="13" fillId="0" fontId="9" numFmtId="10" xfId="0" applyAlignment="1" applyBorder="1" applyFont="1" applyNumberFormat="1">
      <alignment horizontal="left" readingOrder="0" shrinkToFit="0" wrapText="1"/>
    </xf>
    <xf borderId="23" fillId="0" fontId="6" numFmtId="11" xfId="0" applyAlignment="1" applyBorder="1" applyFont="1" applyNumberFormat="1">
      <alignment horizontal="left" readingOrder="0" shrinkToFit="0" wrapText="1"/>
    </xf>
    <xf borderId="10" fillId="0" fontId="6" numFmtId="11" xfId="0" applyAlignment="1" applyBorder="1" applyFont="1" applyNumberFormat="1">
      <alignment horizontal="center" readingOrder="0" shrinkToFit="0" vertical="center" wrapText="1"/>
    </xf>
    <xf borderId="10" fillId="0" fontId="6" numFmtId="4" xfId="0" applyAlignment="1" applyBorder="1" applyFont="1" applyNumberFormat="1">
      <alignment horizontal="left" readingOrder="0" shrinkToFit="0" wrapText="1"/>
    </xf>
    <xf borderId="10" fillId="0" fontId="9" numFmtId="10" xfId="0" applyAlignment="1" applyBorder="1" applyFont="1" applyNumberFormat="1">
      <alignment horizontal="left" readingOrder="0" shrinkToFit="0" wrapText="1"/>
    </xf>
    <xf borderId="24" fillId="0" fontId="6" numFmtId="11" xfId="0" applyAlignment="1" applyBorder="1" applyFont="1" applyNumberFormat="1">
      <alignment horizontal="left" readingOrder="0" shrinkToFit="0" wrapText="1"/>
    </xf>
    <xf borderId="10" fillId="0" fontId="6" numFmtId="4" xfId="0" applyAlignment="1" applyBorder="1" applyFont="1" applyNumberFormat="1">
      <alignment horizontal="center" readingOrder="0" shrinkToFit="0" vertical="center" wrapText="1"/>
    </xf>
    <xf borderId="5" fillId="2" fontId="6" numFmtId="0" xfId="0" applyAlignment="1" applyBorder="1" applyFont="1">
      <alignment horizontal="left" readingOrder="0" shrinkToFit="0" wrapText="1"/>
    </xf>
    <xf borderId="6" fillId="2" fontId="6" numFmtId="11" xfId="0" applyAlignment="1" applyBorder="1" applyFont="1" applyNumberFormat="1">
      <alignment horizontal="center" readingOrder="0" shrinkToFit="0" vertical="center" wrapText="1"/>
    </xf>
    <xf borderId="6" fillId="2" fontId="6" numFmtId="11" xfId="0" applyAlignment="1" applyBorder="1" applyFont="1" applyNumberFormat="1">
      <alignment horizontal="left" readingOrder="0" shrinkToFit="0" wrapText="1"/>
    </xf>
    <xf borderId="2" fillId="2" fontId="9" numFmtId="11" xfId="0" applyAlignment="1" applyBorder="1" applyFont="1" applyNumberFormat="1">
      <alignment horizontal="left" readingOrder="0" shrinkToFit="0" wrapText="1"/>
    </xf>
    <xf borderId="6" fillId="2" fontId="9" numFmtId="11" xfId="0" applyAlignment="1" applyBorder="1" applyFont="1" applyNumberFormat="1">
      <alignment horizontal="left" readingOrder="0" shrinkToFit="0" wrapText="1"/>
    </xf>
    <xf borderId="14" fillId="2" fontId="9" numFmtId="0" xfId="0" applyAlignment="1" applyBorder="1" applyFont="1">
      <alignment horizontal="left" readingOrder="0" shrinkToFit="0" wrapText="1"/>
    </xf>
    <xf borderId="15" fillId="2" fontId="6" numFmtId="169" xfId="0" applyAlignment="1" applyBorder="1" applyFont="1" applyNumberFormat="1">
      <alignment horizontal="center" readingOrder="0" shrinkToFit="0" vertical="center" wrapText="1"/>
    </xf>
    <xf borderId="15" fillId="2" fontId="9" numFmtId="169" xfId="0" applyAlignment="1" applyBorder="1" applyFont="1" applyNumberFormat="1">
      <alignment horizontal="left" readingOrder="0" shrinkToFit="0" wrapText="1"/>
    </xf>
    <xf borderId="15" fillId="2" fontId="6" numFmtId="169" xfId="0" applyAlignment="1" applyBorder="1" applyFont="1" applyNumberFormat="1">
      <alignment horizontal="left" readingOrder="0" shrinkToFit="0" wrapText="1"/>
    </xf>
    <xf borderId="16" fillId="2" fontId="6" numFmtId="169" xfId="0" applyAlignment="1" applyBorder="1" applyFont="1" applyNumberFormat="1">
      <alignment horizontal="left" readingOrder="0" shrinkToFit="0" wrapText="1"/>
    </xf>
    <xf borderId="15" fillId="0" fontId="6" numFmtId="0" xfId="0" applyAlignment="1" applyBorder="1" applyFont="1">
      <alignment horizontal="center" readingOrder="0" shrinkToFit="0" vertical="center" wrapText="1"/>
    </xf>
    <xf borderId="25" fillId="0" fontId="10" numFmtId="165" xfId="0" applyAlignment="1" applyBorder="1" applyFont="1" applyNumberFormat="1">
      <alignment horizontal="center" readingOrder="0"/>
    </xf>
    <xf borderId="10" fillId="0" fontId="6" numFmtId="167" xfId="0" applyAlignment="1" applyBorder="1" applyFont="1" applyNumberFormat="1">
      <alignment horizontal="left" readingOrder="0" shrinkToFit="0" wrapText="1"/>
    </xf>
    <xf borderId="9" fillId="2" fontId="9" numFmtId="0" xfId="0" applyAlignment="1" applyBorder="1" applyFont="1">
      <alignment horizontal="left" readingOrder="0" shrinkToFit="0" vertical="center" wrapText="1"/>
    </xf>
    <xf borderId="15" fillId="2" fontId="6" numFmtId="170" xfId="0" applyAlignment="1" applyBorder="1" applyFont="1" applyNumberFormat="1">
      <alignment horizontal="left" readingOrder="0" shrinkToFit="0" wrapText="1"/>
    </xf>
    <xf borderId="20" fillId="0" fontId="6" numFmtId="0" xfId="0" applyAlignment="1" applyBorder="1" applyFont="1">
      <alignment horizontal="left" readingOrder="0" shrinkToFit="0" vertical="center" wrapText="1"/>
    </xf>
    <xf borderId="26" fillId="0" fontId="6" numFmtId="11" xfId="0" applyAlignment="1" applyBorder="1" applyFont="1" applyNumberForma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vertical="center" wrapText="1"/>
    </xf>
    <xf borderId="27" fillId="0" fontId="4" numFmtId="0" xfId="0" applyAlignment="1" applyBorder="1" applyFont="1">
      <alignment horizontal="left" readingOrder="0" shrinkToFit="0" vertical="top" wrapText="1"/>
    </xf>
    <xf borderId="22" fillId="0" fontId="6" numFmtId="0" xfId="0" applyAlignment="1" applyBorder="1" applyFont="1">
      <alignment horizontal="center" readingOrder="0" shrinkToFit="0" wrapText="1"/>
    </xf>
    <xf borderId="22" fillId="0" fontId="6" numFmtId="171" xfId="0" applyAlignment="1" applyBorder="1" applyFont="1" applyNumberFormat="1">
      <alignment horizontal="center" readingOrder="0" shrinkToFit="0" wrapText="1"/>
    </xf>
    <xf borderId="22" fillId="0" fontId="6" numFmtId="9" xfId="0" applyAlignment="1" applyBorder="1" applyFont="1" applyNumberFormat="1">
      <alignment horizontal="center" readingOrder="0" shrinkToFit="0" wrapText="1"/>
    </xf>
    <xf borderId="26" fillId="0" fontId="6" numFmtId="9" xfId="0" applyAlignment="1" applyBorder="1" applyFont="1" applyNumberFormat="1">
      <alignment horizontal="center" readingOrder="0" shrinkToFit="0" wrapText="1"/>
    </xf>
    <xf borderId="8" fillId="0" fontId="4" numFmtId="165" xfId="0" applyAlignment="1" applyBorder="1" applyFont="1" applyNumberFormat="1">
      <alignment horizontal="center" readingOrder="0"/>
    </xf>
    <xf borderId="28" fillId="0" fontId="4" numFmtId="0" xfId="0" applyAlignment="1" applyBorder="1" applyFont="1">
      <alignment horizontal="left" readingOrder="0" shrinkToFit="0" vertical="top" wrapText="1"/>
    </xf>
    <xf borderId="15" fillId="0" fontId="6" numFmtId="0" xfId="0" applyAlignment="1" applyBorder="1" applyFont="1">
      <alignment horizontal="center" readingOrder="0" shrinkToFit="0" wrapText="1"/>
    </xf>
    <xf borderId="15" fillId="0" fontId="6" numFmtId="171" xfId="0" applyAlignment="1" applyBorder="1" applyFont="1" applyNumberFormat="1">
      <alignment horizontal="center" readingOrder="0" shrinkToFit="0" wrapText="1"/>
    </xf>
    <xf borderId="15" fillId="0" fontId="6" numFmtId="9" xfId="0" applyAlignment="1" applyBorder="1" applyFont="1" applyNumberFormat="1">
      <alignment horizontal="center" readingOrder="0" shrinkToFit="0" wrapText="1"/>
    </xf>
    <xf borderId="16" fillId="0" fontId="6" numFmtId="9" xfId="0" applyAlignment="1" applyBorder="1" applyFont="1" applyNumberFormat="1">
      <alignment horizontal="center" readingOrder="0" shrinkToFit="0" wrapText="1"/>
    </xf>
    <xf borderId="11" fillId="0" fontId="4" numFmtId="165" xfId="0" applyAlignment="1" applyBorder="1" applyFont="1" applyNumberFormat="1">
      <alignment horizontal="center" readingOrder="0"/>
    </xf>
    <xf borderId="29" fillId="0" fontId="1" numFmtId="0" xfId="0" applyAlignment="1" applyBorder="1" applyFont="1">
      <alignment horizontal="left" readingOrder="0" shrinkToFit="0" vertical="top" wrapText="1"/>
    </xf>
    <xf borderId="18" fillId="0" fontId="6" numFmtId="0" xfId="0" applyAlignment="1" applyBorder="1" applyFont="1">
      <alignment horizontal="center" readingOrder="0" shrinkToFit="0" wrapText="1"/>
    </xf>
    <xf borderId="18" fillId="0" fontId="6" numFmtId="171" xfId="0" applyAlignment="1" applyBorder="1" applyFont="1" applyNumberFormat="1">
      <alignment horizontal="center" readingOrder="0" shrinkToFit="0" wrapText="1"/>
    </xf>
    <xf borderId="18" fillId="0" fontId="6" numFmtId="9" xfId="0" applyAlignment="1" applyBorder="1" applyFont="1" applyNumberFormat="1">
      <alignment horizontal="center" readingOrder="0" shrinkToFit="0" wrapText="1"/>
    </xf>
    <xf borderId="30" fillId="0" fontId="6" numFmtId="9" xfId="0" applyAlignment="1" applyBorder="1" applyFont="1" applyNumberFormat="1">
      <alignment horizontal="center" readingOrder="0" shrinkToFit="0" wrapText="1"/>
    </xf>
    <xf borderId="13" fillId="0" fontId="4" numFmtId="0" xfId="0" applyAlignment="1" applyBorder="1" applyFont="1">
      <alignment readingOrder="0"/>
    </xf>
    <xf borderId="13" fillId="0" fontId="6" numFmtId="9" xfId="0" applyAlignment="1" applyBorder="1" applyFont="1" applyNumberFormat="1">
      <alignment horizontal="center" readingOrder="0" shrinkToFit="0" wrapText="1"/>
    </xf>
    <xf borderId="31" fillId="0" fontId="10" numFmtId="165" xfId="0" applyAlignment="1" applyBorder="1" applyFont="1" applyNumberFormat="1">
      <alignment horizontal="center" readingOrder="0"/>
    </xf>
    <xf borderId="22" fillId="0" fontId="1" numFmtId="0" xfId="0" applyAlignment="1" applyBorder="1" applyFont="1">
      <alignment readingOrder="0"/>
    </xf>
    <xf borderId="15" fillId="0" fontId="1" numFmtId="0" xfId="0" applyAlignment="1" applyBorder="1" applyFont="1">
      <alignment horizontal="left" readingOrder="0" shrinkToFit="0" vertical="top" wrapText="1"/>
    </xf>
    <xf borderId="18" fillId="0" fontId="1" numFmtId="0" xfId="0" applyAlignment="1" applyBorder="1" applyFont="1">
      <alignment horizontal="left" readingOrder="0" shrinkToFit="0" vertical="top" wrapText="1"/>
    </xf>
    <xf borderId="32" fillId="0" fontId="4" numFmtId="0" xfId="0" applyAlignment="1" applyBorder="1" applyFont="1">
      <alignment horizontal="left" readingOrder="0" shrinkToFit="0" vertical="top" wrapText="1"/>
    </xf>
    <xf borderId="13" fillId="0" fontId="1" numFmtId="0" xfId="0" applyAlignment="1" applyBorder="1" applyFont="1">
      <alignment horizontal="left" readingOrder="0" shrinkToFit="0" vertical="top" wrapText="1"/>
    </xf>
    <xf borderId="22" fillId="0" fontId="1" numFmtId="0" xfId="0" applyAlignment="1" applyBorder="1" applyFont="1">
      <alignment horizontal="left" readingOrder="0" shrinkToFit="0" vertical="top" wrapText="1"/>
    </xf>
    <xf borderId="15" fillId="0" fontId="12" numFmtId="0" xfId="0" applyAlignment="1" applyBorder="1" applyFont="1">
      <alignment horizontal="left" readingOrder="0" shrinkToFit="0" vertical="top" wrapText="1"/>
    </xf>
    <xf borderId="15" fillId="2" fontId="18" numFmtId="0" xfId="0" applyAlignment="1" applyBorder="1" applyFont="1">
      <alignment horizontal="left" readingOrder="0" shrinkToFit="0" vertical="top" wrapText="1"/>
    </xf>
    <xf borderId="15" fillId="2" fontId="6" numFmtId="0" xfId="0" applyAlignment="1" applyBorder="1" applyFont="1">
      <alignment horizontal="center" readingOrder="0" shrinkToFit="0" wrapText="1"/>
    </xf>
    <xf borderId="11" fillId="2" fontId="10" numFmtId="165" xfId="0" applyAlignment="1" applyBorder="1" applyFont="1" applyNumberFormat="1">
      <alignment horizontal="center" readingOrder="0"/>
    </xf>
    <xf borderId="13" fillId="0" fontId="12" numFmtId="0" xfId="0" applyAlignment="1" applyBorder="1" applyFont="1">
      <alignment horizontal="left" readingOrder="0" shrinkToFit="0" vertical="top" wrapText="1"/>
    </xf>
    <xf borderId="13" fillId="0" fontId="6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horizontal="left" readingOrder="0" shrinkToFit="0" vertical="center" wrapText="1"/>
    </xf>
    <xf borderId="22" fillId="0" fontId="7" numFmtId="0" xfId="0" applyAlignment="1" applyBorder="1" applyFont="1">
      <alignment horizontal="left" readingOrder="0" shrinkToFit="0" vertical="top" wrapText="1"/>
    </xf>
    <xf borderId="15" fillId="0" fontId="7" numFmtId="0" xfId="0" applyAlignment="1" applyBorder="1" applyFont="1">
      <alignment horizontal="left" readingOrder="0" shrinkToFit="0" vertical="top" wrapText="1"/>
    </xf>
    <xf borderId="16" fillId="0" fontId="9" numFmtId="11" xfId="0" applyAlignment="1" applyBorder="1" applyFont="1" applyNumberFormat="1">
      <alignment horizontal="left" readingOrder="0" shrinkToFit="0" wrapText="1"/>
    </xf>
    <xf borderId="13" fillId="0" fontId="7" numFmtId="0" xfId="0" applyAlignment="1" applyBorder="1" applyFont="1">
      <alignment horizontal="left" readingOrder="0" shrinkToFit="0" vertical="top" wrapText="1"/>
    </xf>
    <xf borderId="13" fillId="0" fontId="9" numFmtId="0" xfId="0" applyAlignment="1" applyBorder="1" applyFont="1">
      <alignment horizontal="center" readingOrder="0" shrinkToFit="0" wrapText="1"/>
    </xf>
    <xf borderId="33" fillId="0" fontId="9" numFmtId="0" xfId="0" applyAlignment="1" applyBorder="1" applyFont="1">
      <alignment horizontal="center" readingOrder="0" shrinkToFit="0" wrapText="1"/>
    </xf>
    <xf borderId="34" fillId="0" fontId="17" numFmtId="0" xfId="0" applyBorder="1" applyFont="1"/>
    <xf borderId="33" fillId="0" fontId="19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vertical="bottom"/>
    </xf>
    <xf borderId="0" fillId="0" fontId="4" numFmtId="4" xfId="0" applyAlignment="1" applyFont="1" applyNumberFormat="1">
      <alignment readingOrder="0"/>
    </xf>
    <xf borderId="0" fillId="0" fontId="4" numFmtId="172" xfId="0" applyAlignment="1" applyFont="1" applyNumberFormat="1">
      <alignment readingOrder="0"/>
    </xf>
    <xf borderId="35" fillId="0" fontId="10" numFmtId="165" xfId="0" applyAlignment="1" applyBorder="1" applyFont="1" applyNumberFormat="1">
      <alignment horizontal="center" readingOrder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1" numFmtId="172" xfId="0" applyFont="1" applyNumberFormat="1"/>
    <xf borderId="0" fillId="3" fontId="2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pochai.org/blog/trends-in-machine-learning-hardware" TargetMode="External"/><Relationship Id="rId10" Type="http://schemas.openxmlformats.org/officeDocument/2006/relationships/hyperlink" Target="https://www.trendforce.com/news/2023/12/08/news-memory-titans-vie-for-control-in-hbm-tech-who-will-shape-the-next-gen/" TargetMode="External"/><Relationship Id="rId13" Type="http://schemas.openxmlformats.org/officeDocument/2006/relationships/hyperlink" Target="https://www.ri.se/en/news/blog/generative-ai-does-not-run-on-thin-air" TargetMode="External"/><Relationship Id="rId12" Type="http://schemas.openxmlformats.org/officeDocument/2006/relationships/hyperlink" Target="https://epochai.org/blog/trends-in-gpu-price-performance" TargetMode="External"/><Relationship Id="rId1" Type="http://schemas.openxmlformats.org/officeDocument/2006/relationships/hyperlink" Target="https://docs.google.com/document/d/1FimcextXnfhsbGBDZOGTNQjNPAWPyfTz5s3quGlUHns/edit?tab=t.0" TargetMode="External"/><Relationship Id="rId2" Type="http://schemas.openxmlformats.org/officeDocument/2006/relationships/hyperlink" Target="https://www.nvidia.com/en-us/data-center/gb200-nvl72/" TargetMode="External"/><Relationship Id="rId3" Type="http://schemas.openxmlformats.org/officeDocument/2006/relationships/hyperlink" Target="https://epochai.org/blog/trends-in-machine-learning-hardware" TargetMode="External"/><Relationship Id="rId4" Type="http://schemas.openxmlformats.org/officeDocument/2006/relationships/hyperlink" Target="https://wccftech.com/tsmc-boosts-5nm-production-to-150000-wafers-month-amidst-strong-demand/" TargetMode="External"/><Relationship Id="rId9" Type="http://schemas.openxmlformats.org/officeDocument/2006/relationships/hyperlink" Target="https://straitsresearch.com/report/high-bandwidth-memory-market" TargetMode="External"/><Relationship Id="rId15" Type="http://schemas.openxmlformats.org/officeDocument/2006/relationships/hyperlink" Target="https://view.officeapps.live.com/op/view.aspx?src=https%3A%2F%2Firds.ieee.org%2Fimages%2Ffiles%2Fpdf%2F2022%2F2022IRDS_MM_Tables.xlsx&amp;wdOrigin=BROWSELINK" TargetMode="External"/><Relationship Id="rId14" Type="http://schemas.openxmlformats.org/officeDocument/2006/relationships/hyperlink" Target="https://epochai.org/blog/trends-in-machine-learning-hardware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patentlyapple.com/2023/12/tsmc-confirms-that-mass-production-of-2nm-processors-will-begin-in-2025-and-will-be-the-most-advanced-in-both-density-and-ene.html" TargetMode="External"/><Relationship Id="rId6" Type="http://schemas.openxmlformats.org/officeDocument/2006/relationships/hyperlink" Target="https://epochai.org/blog/trends-in-machine-learning-hardware" TargetMode="External"/><Relationship Id="rId7" Type="http://schemas.openxmlformats.org/officeDocument/2006/relationships/hyperlink" Target="https://www.tweaktown.com/news/96399/sk-hynix-says-its-hbm-supply-is-sold-out-for-2024-huge-growth-expected-in-2025/index.html" TargetMode="External"/><Relationship Id="rId8" Type="http://schemas.openxmlformats.org/officeDocument/2006/relationships/hyperlink" Target="https://www.tweaktown.com/news/94220/sk-hynix-and-samsung-are-both-sold-out-of-their-hbm3-memory-until-2025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75"/>
    <col customWidth="1" min="2" max="2" width="28.0"/>
    <col customWidth="1" min="3" max="3" width="21.25"/>
    <col customWidth="1" min="10" max="11" width="12.63"/>
    <col customWidth="1" min="12" max="12" width="12.5"/>
    <col customWidth="1" min="13" max="13" width="14.0"/>
    <col customWidth="1" min="14" max="14" width="45.13"/>
    <col customWidth="1" min="19" max="19" width="14.38"/>
  </cols>
  <sheetData>
    <row r="1">
      <c r="A1" s="1"/>
      <c r="B1" s="2" t="s">
        <v>0</v>
      </c>
      <c r="D1" s="3" t="s">
        <v>1</v>
      </c>
      <c r="J1" s="4" t="s">
        <v>2</v>
      </c>
      <c r="K1" s="4" t="s">
        <v>3</v>
      </c>
      <c r="O1" s="5"/>
      <c r="P1" s="5"/>
      <c r="Q1" s="5"/>
      <c r="R1" s="5"/>
      <c r="S1" s="5"/>
      <c r="T1" s="5"/>
      <c r="U1" s="5"/>
      <c r="X1" s="5"/>
      <c r="Y1" s="5"/>
    </row>
    <row r="2">
      <c r="B2" s="1" t="s">
        <v>4</v>
      </c>
      <c r="C2" s="1" t="s">
        <v>5</v>
      </c>
      <c r="D2" s="1" t="s">
        <v>6</v>
      </c>
      <c r="G2" s="6" t="s">
        <v>7</v>
      </c>
    </row>
    <row r="3">
      <c r="B3" s="7" t="s">
        <v>8</v>
      </c>
      <c r="C3" s="8" t="s">
        <v>9</v>
      </c>
      <c r="D3" s="8">
        <v>2022.0</v>
      </c>
      <c r="E3" s="8">
        <v>2023.0</v>
      </c>
      <c r="F3" s="8">
        <v>2024.0</v>
      </c>
      <c r="G3" s="8">
        <v>2025.0</v>
      </c>
      <c r="H3" s="8">
        <v>2026.0</v>
      </c>
      <c r="I3" s="8">
        <v>2027.0</v>
      </c>
      <c r="J3" s="8">
        <v>2028.0</v>
      </c>
      <c r="K3" s="8">
        <v>2029.0</v>
      </c>
      <c r="L3" s="9">
        <v>2030.0</v>
      </c>
      <c r="M3" s="10" t="s">
        <v>10</v>
      </c>
      <c r="N3" s="11" t="s">
        <v>11</v>
      </c>
      <c r="O3" s="12"/>
      <c r="P3" s="12"/>
      <c r="Q3" s="12"/>
      <c r="R3" s="13"/>
      <c r="T3" s="14"/>
      <c r="U3" s="14"/>
      <c r="W3" s="15"/>
    </row>
    <row r="4">
      <c r="B4" s="16" t="s">
        <v>12</v>
      </c>
      <c r="C4" s="17" t="s">
        <v>13</v>
      </c>
      <c r="D4" s="17" t="s">
        <v>13</v>
      </c>
      <c r="E4" s="18" t="s">
        <v>14</v>
      </c>
      <c r="F4" s="18" t="s">
        <v>14</v>
      </c>
      <c r="G4" s="18" t="s">
        <v>15</v>
      </c>
      <c r="H4" s="18" t="s">
        <v>15</v>
      </c>
      <c r="I4" s="17" t="s">
        <v>16</v>
      </c>
      <c r="J4" s="18" t="s">
        <v>16</v>
      </c>
      <c r="K4" s="18" t="s">
        <v>17</v>
      </c>
      <c r="L4" s="19" t="s">
        <v>17</v>
      </c>
      <c r="M4" s="20" t="s">
        <v>18</v>
      </c>
      <c r="N4" s="21" t="s">
        <v>19</v>
      </c>
    </row>
    <row r="5">
      <c r="B5" s="22" t="s">
        <v>20</v>
      </c>
      <c r="C5" s="23"/>
      <c r="D5" s="23"/>
      <c r="E5" s="24">
        <v>814.0</v>
      </c>
      <c r="F5" s="24">
        <f>E5</f>
        <v>814</v>
      </c>
      <c r="G5" s="24">
        <f>F5*2</f>
        <v>1628</v>
      </c>
      <c r="H5" s="24">
        <f>G5</f>
        <v>1628</v>
      </c>
      <c r="I5" s="25">
        <f>H5*1.2</f>
        <v>1953.6</v>
      </c>
      <c r="J5" s="25">
        <f>I5</f>
        <v>1953.6</v>
      </c>
      <c r="K5" s="25">
        <f>J5*1.1</f>
        <v>2148.96</v>
      </c>
      <c r="L5" s="25">
        <f>K5</f>
        <v>2148.96</v>
      </c>
      <c r="M5" s="26">
        <f t="shared" ref="M5:M10" si="2">(L5/E5)^(1/7)</f>
        <v>1.148759544</v>
      </c>
      <c r="N5" s="27"/>
    </row>
    <row r="6">
      <c r="B6" s="22" t="s">
        <v>21</v>
      </c>
      <c r="C6" s="23">
        <f t="shared" ref="C6:L6" si="1">C7*2</f>
        <v>630000000000000</v>
      </c>
      <c r="D6" s="23">
        <f t="shared" si="1"/>
        <v>630000000000000</v>
      </c>
      <c r="E6" s="23">
        <f t="shared" si="1"/>
        <v>2E+15</v>
      </c>
      <c r="F6" s="23">
        <f t="shared" si="1"/>
        <v>2E+15</v>
      </c>
      <c r="G6" s="23">
        <f t="shared" si="1"/>
        <v>5E+15</v>
      </c>
      <c r="H6" s="23">
        <f t="shared" si="1"/>
        <v>5E+15</v>
      </c>
      <c r="I6" s="28">
        <f t="shared" si="1"/>
        <v>1.2E+16</v>
      </c>
      <c r="J6" s="28">
        <f t="shared" si="1"/>
        <v>1.2E+16</v>
      </c>
      <c r="K6" s="28">
        <f t="shared" si="1"/>
        <v>2E+16</v>
      </c>
      <c r="L6" s="28">
        <f t="shared" si="1"/>
        <v>2E+16</v>
      </c>
      <c r="M6" s="26">
        <f t="shared" si="2"/>
        <v>1.389495494</v>
      </c>
      <c r="N6" s="27"/>
    </row>
    <row r="7">
      <c r="B7" s="29" t="s">
        <v>22</v>
      </c>
      <c r="C7" s="30">
        <f t="shared" ref="C7:D7" si="3">315*10^12</f>
        <v>315000000000000</v>
      </c>
      <c r="D7" s="30">
        <f t="shared" si="3"/>
        <v>315000000000000</v>
      </c>
      <c r="E7" s="30">
        <v>1.0E15</v>
      </c>
      <c r="F7" s="30">
        <v>1.0E15</v>
      </c>
      <c r="G7" s="30">
        <f>2500000000000000</f>
        <v>2.5E+15</v>
      </c>
      <c r="H7" s="30">
        <f>G7</f>
        <v>2.5E+15</v>
      </c>
      <c r="I7" s="31">
        <f t="shared" ref="I7:J7" si="4">6000000000000000</f>
        <v>6E+15</v>
      </c>
      <c r="J7" s="31">
        <f t="shared" si="4"/>
        <v>6E+15</v>
      </c>
      <c r="K7" s="31">
        <v>1.0E16</v>
      </c>
      <c r="L7" s="31">
        <f>K7</f>
        <v>1E+16</v>
      </c>
      <c r="M7" s="26">
        <f t="shared" si="2"/>
        <v>1.389495494</v>
      </c>
      <c r="N7" s="32" t="s">
        <v>23</v>
      </c>
    </row>
    <row r="8">
      <c r="B8" s="22" t="s">
        <v>24</v>
      </c>
      <c r="C8" s="33"/>
      <c r="D8" s="33"/>
      <c r="E8" s="28">
        <f>F8/1.35</f>
        <v>740740740740741</v>
      </c>
      <c r="F8" s="28">
        <f>F7</f>
        <v>1E+15</v>
      </c>
      <c r="G8" s="28">
        <f t="shared" ref="G8:L8" si="5">F8*1.35</f>
        <v>1.35E+15</v>
      </c>
      <c r="H8" s="28">
        <f t="shared" si="5"/>
        <v>1.8225E+15</v>
      </c>
      <c r="I8" s="28">
        <f t="shared" si="5"/>
        <v>2.46038E+15</v>
      </c>
      <c r="J8" s="28">
        <f t="shared" si="5"/>
        <v>3.32151E+15</v>
      </c>
      <c r="K8" s="28">
        <f t="shared" si="5"/>
        <v>4.48403E+15</v>
      </c>
      <c r="L8" s="28">
        <f t="shared" si="5"/>
        <v>6.05345E+15</v>
      </c>
      <c r="M8" s="26">
        <f t="shared" si="2"/>
        <v>1.35</v>
      </c>
      <c r="N8" s="27"/>
    </row>
    <row r="9">
      <c r="B9" s="16" t="s">
        <v>25</v>
      </c>
      <c r="C9" s="17" t="s">
        <v>18</v>
      </c>
      <c r="D9" s="17" t="s">
        <v>18</v>
      </c>
      <c r="E9" s="34">
        <v>1800000.0</v>
      </c>
      <c r="F9" s="35">
        <f>E9*1.1</f>
        <v>1980000</v>
      </c>
      <c r="G9" s="35">
        <f>F9*1.05</f>
        <v>2079000</v>
      </c>
      <c r="H9" s="35">
        <f t="shared" ref="H9:J9" si="6">G9*1</f>
        <v>2079000</v>
      </c>
      <c r="I9" s="35">
        <f t="shared" si="6"/>
        <v>2079000</v>
      </c>
      <c r="J9" s="35">
        <f t="shared" si="6"/>
        <v>2079000</v>
      </c>
      <c r="K9" s="35">
        <f>J9*0.95</f>
        <v>1975050</v>
      </c>
      <c r="L9" s="36">
        <f>K9*0.9</f>
        <v>1777545</v>
      </c>
      <c r="M9" s="37">
        <f t="shared" si="2"/>
        <v>0.9982082548</v>
      </c>
      <c r="N9" s="32" t="s">
        <v>26</v>
      </c>
    </row>
    <row r="10">
      <c r="B10" s="38" t="s">
        <v>27</v>
      </c>
      <c r="C10" s="39" t="s">
        <v>18</v>
      </c>
      <c r="D10" s="39" t="s">
        <v>18</v>
      </c>
      <c r="E10" s="40">
        <f>60000*12</f>
        <v>720000</v>
      </c>
      <c r="F10" s="40">
        <v>1200000.0</v>
      </c>
      <c r="G10" s="41">
        <f>F10*1.5</f>
        <v>1800000</v>
      </c>
      <c r="H10" s="41">
        <f>G10*1.1</f>
        <v>1980000</v>
      </c>
      <c r="I10" s="41">
        <f>H10*1.05</f>
        <v>2079000</v>
      </c>
      <c r="J10" s="41">
        <f t="shared" ref="J10:K10" si="7">I10*1</f>
        <v>2079000</v>
      </c>
      <c r="K10" s="41">
        <f t="shared" si="7"/>
        <v>2079000</v>
      </c>
      <c r="L10" s="42">
        <f>K10*0.95</f>
        <v>1975050</v>
      </c>
      <c r="M10" s="26">
        <f t="shared" si="2"/>
        <v>1.155065238</v>
      </c>
      <c r="N10" s="32" t="s">
        <v>28</v>
      </c>
    </row>
    <row r="11">
      <c r="B11" s="38" t="s">
        <v>29</v>
      </c>
      <c r="C11" s="39" t="s">
        <v>18</v>
      </c>
      <c r="D11" s="39" t="s">
        <v>18</v>
      </c>
      <c r="E11" s="43">
        <v>0.0</v>
      </c>
      <c r="F11" s="43">
        <v>0.0</v>
      </c>
      <c r="G11" s="43">
        <v>0.0</v>
      </c>
      <c r="H11" s="41">
        <v>250000.0</v>
      </c>
      <c r="I11" s="41">
        <v>750000.0</v>
      </c>
      <c r="J11" s="41">
        <f>I11*2</f>
        <v>1500000</v>
      </c>
      <c r="K11" s="41">
        <f t="shared" ref="K11:L11" si="8">J11*1.5</f>
        <v>2250000</v>
      </c>
      <c r="L11" s="42">
        <f t="shared" si="8"/>
        <v>3375000</v>
      </c>
      <c r="M11" s="26">
        <f>(L11/H11)^(1/4)</f>
        <v>1.916829313</v>
      </c>
      <c r="N11" s="44" t="s">
        <v>30</v>
      </c>
    </row>
    <row r="12">
      <c r="B12" s="38" t="s">
        <v>31</v>
      </c>
      <c r="C12" s="39" t="s">
        <v>18</v>
      </c>
      <c r="D12" s="39" t="s">
        <v>18</v>
      </c>
      <c r="E12" s="40">
        <f t="shared" ref="E12:L12" si="9">sum(E9:E11)</f>
        <v>2520000</v>
      </c>
      <c r="F12" s="40">
        <f t="shared" si="9"/>
        <v>3180000</v>
      </c>
      <c r="G12" s="41">
        <f t="shared" si="9"/>
        <v>3879000</v>
      </c>
      <c r="H12" s="41">
        <f t="shared" si="9"/>
        <v>4309000</v>
      </c>
      <c r="I12" s="41">
        <f t="shared" si="9"/>
        <v>4908000</v>
      </c>
      <c r="J12" s="41">
        <f t="shared" si="9"/>
        <v>5658000</v>
      </c>
      <c r="K12" s="41">
        <f t="shared" si="9"/>
        <v>6304050</v>
      </c>
      <c r="L12" s="42">
        <f t="shared" si="9"/>
        <v>7127595</v>
      </c>
      <c r="M12" s="26">
        <f>(L12/E12)^(1/7)</f>
        <v>1.160128425</v>
      </c>
      <c r="N12" s="45" t="s">
        <v>32</v>
      </c>
    </row>
    <row r="13">
      <c r="B13" s="38" t="s">
        <v>33</v>
      </c>
      <c r="C13" s="39" t="s">
        <v>18</v>
      </c>
      <c r="D13" s="39" t="s">
        <v>18</v>
      </c>
      <c r="E13" s="46">
        <v>24.0</v>
      </c>
      <c r="F13" s="47">
        <v>26.0</v>
      </c>
      <c r="G13" s="47">
        <v>14.0</v>
      </c>
      <c r="H13" s="47">
        <v>15.0</v>
      </c>
      <c r="I13" s="47">
        <f>H13/1.2</f>
        <v>12.5</v>
      </c>
      <c r="J13" s="47">
        <f>14</f>
        <v>14</v>
      </c>
      <c r="K13" s="47">
        <v>12.0</v>
      </c>
      <c r="L13" s="47">
        <v>13.0</v>
      </c>
      <c r="M13" s="26" t="s">
        <v>18</v>
      </c>
      <c r="N13" s="48" t="s">
        <v>34</v>
      </c>
    </row>
    <row r="14">
      <c r="B14" s="49" t="s">
        <v>35</v>
      </c>
      <c r="C14" s="50"/>
      <c r="D14" s="50"/>
      <c r="E14" s="51">
        <f t="shared" ref="E14:L14" si="10">E13*E12</f>
        <v>60480000</v>
      </c>
      <c r="F14" s="52">
        <f t="shared" si="10"/>
        <v>82680000</v>
      </c>
      <c r="G14" s="52">
        <f t="shared" si="10"/>
        <v>54306000</v>
      </c>
      <c r="H14" s="52">
        <f t="shared" si="10"/>
        <v>64635000</v>
      </c>
      <c r="I14" s="52">
        <f t="shared" si="10"/>
        <v>61350000</v>
      </c>
      <c r="J14" s="52">
        <f t="shared" si="10"/>
        <v>79212000</v>
      </c>
      <c r="K14" s="52">
        <f t="shared" si="10"/>
        <v>75648600</v>
      </c>
      <c r="L14" s="52">
        <f t="shared" si="10"/>
        <v>92658735</v>
      </c>
      <c r="M14" s="26">
        <f t="shared" ref="M14:M15" si="12">(L14/E14)^(1/7)</f>
        <v>1.062839772</v>
      </c>
      <c r="N14" s="4"/>
    </row>
    <row r="15">
      <c r="B15" s="49" t="s">
        <v>36</v>
      </c>
      <c r="C15" s="50" t="s">
        <v>18</v>
      </c>
      <c r="D15" s="50" t="s">
        <v>18</v>
      </c>
      <c r="E15" s="53">
        <f t="shared" ref="E15:L15" si="11">E46/(E12*E13)</f>
        <v>0.0248015873</v>
      </c>
      <c r="F15" s="54">
        <f t="shared" si="11"/>
        <v>0.05239477504</v>
      </c>
      <c r="G15" s="54">
        <f t="shared" si="11"/>
        <v>0.1410609241</v>
      </c>
      <c r="H15" s="54">
        <f t="shared" si="11"/>
        <v>0.1838806101</v>
      </c>
      <c r="I15" s="54">
        <f t="shared" si="11"/>
        <v>0.3398880512</v>
      </c>
      <c r="J15" s="54">
        <f t="shared" si="11"/>
        <v>0.3986199454</v>
      </c>
      <c r="K15" s="54">
        <f t="shared" si="11"/>
        <v>0.7275300214</v>
      </c>
      <c r="L15" s="55">
        <f t="shared" si="11"/>
        <v>0.9947794003</v>
      </c>
      <c r="M15" s="26">
        <f t="shared" si="12"/>
        <v>1.694475639</v>
      </c>
      <c r="N15" s="4" t="s">
        <v>37</v>
      </c>
    </row>
    <row r="16">
      <c r="B16" s="16" t="s">
        <v>38</v>
      </c>
      <c r="C16" s="17" t="s">
        <v>18</v>
      </c>
      <c r="D16" s="17" t="s">
        <v>18</v>
      </c>
      <c r="E16" s="34" t="s">
        <v>39</v>
      </c>
      <c r="F16" s="34" t="s">
        <v>40</v>
      </c>
      <c r="G16" s="35" t="s">
        <v>41</v>
      </c>
      <c r="H16" s="35" t="s">
        <v>41</v>
      </c>
      <c r="I16" s="35" t="s">
        <v>42</v>
      </c>
      <c r="J16" s="35" t="s">
        <v>42</v>
      </c>
      <c r="K16" s="35" t="s">
        <v>43</v>
      </c>
      <c r="L16" s="36" t="s">
        <v>43</v>
      </c>
      <c r="M16" s="37"/>
      <c r="N16" s="4" t="s">
        <v>44</v>
      </c>
    </row>
    <row r="17">
      <c r="B17" s="38" t="s">
        <v>45</v>
      </c>
      <c r="C17" s="39" t="s">
        <v>18</v>
      </c>
      <c r="D17" s="39" t="s">
        <v>18</v>
      </c>
      <c r="E17" s="40">
        <v>3.35E12</v>
      </c>
      <c r="F17" s="40">
        <f>4800000000000</f>
        <v>4800000000000</v>
      </c>
      <c r="G17" s="41">
        <f t="shared" ref="G17:K17" si="13">F17*1.18</f>
        <v>5664000000000</v>
      </c>
      <c r="H17" s="41">
        <f t="shared" si="13"/>
        <v>6683520000000</v>
      </c>
      <c r="I17" s="41">
        <f t="shared" si="13"/>
        <v>7886553600000</v>
      </c>
      <c r="J17" s="41">
        <f t="shared" si="13"/>
        <v>9306133248000</v>
      </c>
      <c r="K17" s="41">
        <f t="shared" si="13"/>
        <v>10981237232640</v>
      </c>
      <c r="L17" s="42">
        <f>K17</f>
        <v>10981237232640</v>
      </c>
      <c r="M17" s="26">
        <f t="shared" ref="M17:M24" si="15">(L17/E17)^(1/7)</f>
        <v>1.184835524</v>
      </c>
      <c r="N17" s="56" t="s">
        <v>23</v>
      </c>
    </row>
    <row r="18">
      <c r="B18" s="38" t="s">
        <v>46</v>
      </c>
      <c r="C18" s="39" t="s">
        <v>18</v>
      </c>
      <c r="D18" s="39" t="s">
        <v>18</v>
      </c>
      <c r="E18" s="40">
        <f>55000*12</f>
        <v>660000</v>
      </c>
      <c r="F18" s="40">
        <f>157000*12</f>
        <v>1884000</v>
      </c>
      <c r="G18" s="41">
        <f t="shared" ref="G18:L18" si="14">F18*1.6</f>
        <v>3014400</v>
      </c>
      <c r="H18" s="41">
        <f t="shared" si="14"/>
        <v>4823040</v>
      </c>
      <c r="I18" s="41">
        <f t="shared" si="14"/>
        <v>7716864</v>
      </c>
      <c r="J18" s="41">
        <f t="shared" si="14"/>
        <v>12346982.4</v>
      </c>
      <c r="K18" s="41">
        <f t="shared" si="14"/>
        <v>19755171.84</v>
      </c>
      <c r="L18" s="41">
        <f t="shared" si="14"/>
        <v>31608274.94</v>
      </c>
      <c r="M18" s="26">
        <f t="shared" si="15"/>
        <v>1.737947664</v>
      </c>
      <c r="N18" s="1"/>
    </row>
    <row r="19">
      <c r="B19" s="38" t="s">
        <v>47</v>
      </c>
      <c r="C19" s="39" t="s">
        <v>18</v>
      </c>
      <c r="D19" s="39" t="s">
        <v>18</v>
      </c>
      <c r="E19" s="57">
        <f>25000000/E18</f>
        <v>37.87878788</v>
      </c>
      <c r="F19" s="57">
        <f>76000000/F18</f>
        <v>40.33970276</v>
      </c>
      <c r="G19" s="58">
        <f t="shared" ref="G19:L19" si="16">F19+F19-E19</f>
        <v>42.80061764</v>
      </c>
      <c r="H19" s="58">
        <f t="shared" si="16"/>
        <v>45.26153252</v>
      </c>
      <c r="I19" s="58">
        <f t="shared" si="16"/>
        <v>47.7224474</v>
      </c>
      <c r="J19" s="58">
        <f t="shared" si="16"/>
        <v>50.18336229</v>
      </c>
      <c r="K19" s="58">
        <f t="shared" si="16"/>
        <v>52.64427717</v>
      </c>
      <c r="L19" s="58">
        <f t="shared" si="16"/>
        <v>55.10519205</v>
      </c>
      <c r="M19" s="26">
        <f t="shared" si="15"/>
        <v>1.055010144</v>
      </c>
      <c r="N19" s="1"/>
    </row>
    <row r="20">
      <c r="B20" s="38" t="s">
        <v>48</v>
      </c>
      <c r="C20" s="39" t="s">
        <v>18</v>
      </c>
      <c r="D20" s="39" t="s">
        <v>18</v>
      </c>
      <c r="E20" s="46">
        <f>6</f>
        <v>6</v>
      </c>
      <c r="F20" s="46">
        <v>8.0</v>
      </c>
      <c r="G20" s="59">
        <v>8.0</v>
      </c>
      <c r="H20" s="59">
        <v>9.0</v>
      </c>
      <c r="I20" s="59">
        <v>9.0</v>
      </c>
      <c r="J20" s="59">
        <v>10.0</v>
      </c>
      <c r="K20" s="59">
        <v>10.0</v>
      </c>
      <c r="L20" s="59">
        <v>10.0</v>
      </c>
      <c r="M20" s="26">
        <f t="shared" si="15"/>
        <v>1.07570374</v>
      </c>
      <c r="N20" s="1"/>
    </row>
    <row r="21">
      <c r="B21" s="38" t="s">
        <v>49</v>
      </c>
      <c r="C21" s="39" t="s">
        <v>18</v>
      </c>
      <c r="D21" s="39" t="s">
        <v>18</v>
      </c>
      <c r="E21" s="60">
        <v>0.45</v>
      </c>
      <c r="F21" s="60">
        <v>0.48</v>
      </c>
      <c r="G21" s="61">
        <v>0.5</v>
      </c>
      <c r="H21" s="61">
        <v>0.5</v>
      </c>
      <c r="I21" s="61">
        <f>2*H21-F21</f>
        <v>0.52</v>
      </c>
      <c r="J21" s="61">
        <f>I21</f>
        <v>0.52</v>
      </c>
      <c r="K21" s="61">
        <f>2*J21-H21</f>
        <v>0.54</v>
      </c>
      <c r="L21" s="61">
        <f>K21</f>
        <v>0.54</v>
      </c>
      <c r="M21" s="26">
        <f t="shared" si="15"/>
        <v>1.026388096</v>
      </c>
      <c r="N21" s="4" t="s">
        <v>50</v>
      </c>
    </row>
    <row r="22">
      <c r="B22" s="62" t="s">
        <v>51</v>
      </c>
      <c r="C22" s="63" t="s">
        <v>18</v>
      </c>
      <c r="D22" s="63" t="s">
        <v>18</v>
      </c>
      <c r="E22" s="64">
        <f t="shared" ref="E22:L22" si="17">E18*E21*E19/E20</f>
        <v>1875000</v>
      </c>
      <c r="F22" s="64">
        <f t="shared" si="17"/>
        <v>4560000</v>
      </c>
      <c r="G22" s="65">
        <f t="shared" si="17"/>
        <v>8063636.364</v>
      </c>
      <c r="H22" s="65">
        <f t="shared" si="17"/>
        <v>12127676.77</v>
      </c>
      <c r="I22" s="65">
        <f t="shared" si="17"/>
        <v>21277685.66</v>
      </c>
      <c r="J22" s="65">
        <f t="shared" si="17"/>
        <v>32219880.73</v>
      </c>
      <c r="K22" s="65">
        <f t="shared" si="17"/>
        <v>56159824.06</v>
      </c>
      <c r="L22" s="65">
        <f t="shared" si="17"/>
        <v>94056123.3</v>
      </c>
      <c r="M22" s="26">
        <f t="shared" si="15"/>
        <v>1.749493195</v>
      </c>
      <c r="N22" s="21" t="s">
        <v>52</v>
      </c>
    </row>
    <row r="23">
      <c r="B23" s="66" t="s">
        <v>53</v>
      </c>
      <c r="C23" s="39" t="s">
        <v>18</v>
      </c>
      <c r="D23" s="39"/>
      <c r="E23" s="67">
        <f>E46/E22</f>
        <v>0.8</v>
      </c>
      <c r="F23" s="67">
        <v>0.95</v>
      </c>
      <c r="G23" s="67">
        <v>0.95</v>
      </c>
      <c r="H23" s="67">
        <v>0.98</v>
      </c>
      <c r="I23" s="67">
        <v>0.98</v>
      </c>
      <c r="J23" s="67">
        <f t="shared" ref="J23:L23" si="18">I23</f>
        <v>0.98</v>
      </c>
      <c r="K23" s="67">
        <f t="shared" si="18"/>
        <v>0.98</v>
      </c>
      <c r="L23" s="67">
        <f t="shared" si="18"/>
        <v>0.98</v>
      </c>
      <c r="M23" s="26">
        <f t="shared" si="15"/>
        <v>1.029415895</v>
      </c>
      <c r="N23" s="68" t="s">
        <v>54</v>
      </c>
      <c r="O23" s="44"/>
    </row>
    <row r="24">
      <c r="B24" s="66" t="s">
        <v>55</v>
      </c>
      <c r="C24" s="39" t="s">
        <v>18</v>
      </c>
      <c r="D24" s="39" t="s">
        <v>18</v>
      </c>
      <c r="E24" s="69">
        <f>2.5</f>
        <v>2.5</v>
      </c>
      <c r="F24" s="70">
        <f>E24*F22/E22*1.1^1</f>
        <v>6.688</v>
      </c>
      <c r="G24" s="70">
        <f>F24*G22/F22*1.03^2</f>
        <v>12.54691067</v>
      </c>
      <c r="H24" s="70">
        <f>G24*H22/G22*1.03^3</f>
        <v>20.62030851</v>
      </c>
      <c r="I24" s="70">
        <f>H24*I22/H22*1.03^4</f>
        <v>40.71841203</v>
      </c>
      <c r="J24" s="70">
        <f>I24*J22/I22*1.03^5</f>
        <v>71.47867544</v>
      </c>
      <c r="K24" s="70">
        <f>J24*K22/J22*1.03^6</f>
        <v>148.7653041</v>
      </c>
      <c r="L24" s="71">
        <f>K24*L22/K22*1.03^7</f>
        <v>306.4245545</v>
      </c>
      <c r="M24" s="26">
        <f t="shared" si="15"/>
        <v>1.987652722</v>
      </c>
      <c r="N24" s="56" t="s">
        <v>56</v>
      </c>
    </row>
    <row r="25">
      <c r="B25" s="72" t="s">
        <v>57</v>
      </c>
      <c r="C25" s="73" t="s">
        <v>58</v>
      </c>
      <c r="D25" s="39" t="s">
        <v>18</v>
      </c>
      <c r="E25" s="67">
        <v>0.53</v>
      </c>
      <c r="F25" s="67">
        <v>0.53</v>
      </c>
      <c r="G25" s="67">
        <v>0.45</v>
      </c>
      <c r="H25" s="67">
        <v>0.45</v>
      </c>
      <c r="I25" s="67">
        <v>0.45</v>
      </c>
      <c r="J25" s="67">
        <v>0.45</v>
      </c>
      <c r="K25" s="67">
        <v>0.45</v>
      </c>
      <c r="L25" s="67">
        <v>0.45</v>
      </c>
      <c r="M25" s="26" t="s">
        <v>18</v>
      </c>
      <c r="N25" s="74" t="s">
        <v>59</v>
      </c>
    </row>
    <row r="26">
      <c r="B26" s="75"/>
      <c r="C26" s="73" t="s">
        <v>60</v>
      </c>
      <c r="D26" s="39" t="s">
        <v>18</v>
      </c>
      <c r="E26" s="67">
        <v>0.45</v>
      </c>
      <c r="F26" s="67">
        <v>0.45</v>
      </c>
      <c r="G26" s="67">
        <v>0.45</v>
      </c>
      <c r="H26" s="67">
        <v>0.45</v>
      </c>
      <c r="I26" s="67">
        <v>0.45</v>
      </c>
      <c r="J26" s="67">
        <v>0.45</v>
      </c>
      <c r="K26" s="67">
        <v>0.45</v>
      </c>
      <c r="L26" s="67">
        <v>0.45</v>
      </c>
      <c r="M26" s="26" t="s">
        <v>18</v>
      </c>
    </row>
    <row r="27">
      <c r="B27" s="76"/>
      <c r="C27" s="73" t="s">
        <v>61</v>
      </c>
      <c r="D27" s="39" t="s">
        <v>18</v>
      </c>
      <c r="E27" s="67">
        <f t="shared" ref="E27:F27" si="19">1-E25-E26</f>
        <v>0.02</v>
      </c>
      <c r="F27" s="67">
        <f t="shared" si="19"/>
        <v>0.02</v>
      </c>
      <c r="G27" s="67">
        <f t="shared" ref="G27:L27" si="20">1-G26-G25</f>
        <v>0.1</v>
      </c>
      <c r="H27" s="67">
        <f t="shared" si="20"/>
        <v>0.1</v>
      </c>
      <c r="I27" s="67">
        <f t="shared" si="20"/>
        <v>0.1</v>
      </c>
      <c r="J27" s="67">
        <f t="shared" si="20"/>
        <v>0.1</v>
      </c>
      <c r="K27" s="67">
        <f t="shared" si="20"/>
        <v>0.1</v>
      </c>
      <c r="L27" s="67">
        <f t="shared" si="20"/>
        <v>0.1</v>
      </c>
      <c r="M27" s="26" t="s">
        <v>18</v>
      </c>
    </row>
    <row r="28">
      <c r="B28" s="72" t="s">
        <v>62</v>
      </c>
      <c r="C28" s="73" t="s">
        <v>58</v>
      </c>
      <c r="D28" s="39" t="s">
        <v>18</v>
      </c>
      <c r="E28" s="41">
        <f t="shared" ref="E28:L28" si="21">E25*E$22</f>
        <v>993750</v>
      </c>
      <c r="F28" s="41">
        <f t="shared" si="21"/>
        <v>2416800</v>
      </c>
      <c r="G28" s="41">
        <f t="shared" si="21"/>
        <v>3628636.364</v>
      </c>
      <c r="H28" s="41">
        <f t="shared" si="21"/>
        <v>5457454.545</v>
      </c>
      <c r="I28" s="41">
        <f t="shared" si="21"/>
        <v>9574958.545</v>
      </c>
      <c r="J28" s="41">
        <f t="shared" si="21"/>
        <v>14498946.33</v>
      </c>
      <c r="K28" s="41">
        <f t="shared" si="21"/>
        <v>25271920.83</v>
      </c>
      <c r="L28" s="41">
        <f t="shared" si="21"/>
        <v>42325255.48</v>
      </c>
      <c r="M28" s="26">
        <f>(L28/E28)^(1/7)</f>
        <v>1.709071962</v>
      </c>
    </row>
    <row r="29">
      <c r="B29" s="75"/>
      <c r="C29" s="73" t="s">
        <v>60</v>
      </c>
      <c r="D29" s="39" t="s">
        <v>18</v>
      </c>
      <c r="E29" s="41">
        <f t="shared" ref="E29:L29" si="22">E26*E$22</f>
        <v>843750</v>
      </c>
      <c r="F29" s="41">
        <f t="shared" si="22"/>
        <v>2052000</v>
      </c>
      <c r="G29" s="41">
        <f t="shared" si="22"/>
        <v>3628636.364</v>
      </c>
      <c r="H29" s="41">
        <f t="shared" si="22"/>
        <v>5457454.545</v>
      </c>
      <c r="I29" s="41">
        <f t="shared" si="22"/>
        <v>9574958.545</v>
      </c>
      <c r="J29" s="41">
        <f t="shared" si="22"/>
        <v>14498946.33</v>
      </c>
      <c r="K29" s="41">
        <f t="shared" si="22"/>
        <v>25271920.83</v>
      </c>
      <c r="L29" s="41">
        <f t="shared" si="22"/>
        <v>42325255.48</v>
      </c>
      <c r="M29" s="26">
        <f t="shared" ref="M29:M30" si="24">(L29/F29)^(1/6)</f>
        <v>1.656038282</v>
      </c>
    </row>
    <row r="30">
      <c r="B30" s="77"/>
      <c r="C30" s="78" t="s">
        <v>61</v>
      </c>
      <c r="D30" s="79" t="s">
        <v>18</v>
      </c>
      <c r="E30" s="31">
        <f t="shared" ref="E30:L30" si="23">E27*E$22</f>
        <v>37500</v>
      </c>
      <c r="F30" s="31">
        <f t="shared" si="23"/>
        <v>91200</v>
      </c>
      <c r="G30" s="31">
        <f t="shared" si="23"/>
        <v>806363.6364</v>
      </c>
      <c r="H30" s="31">
        <f t="shared" si="23"/>
        <v>1212767.677</v>
      </c>
      <c r="I30" s="31">
        <f t="shared" si="23"/>
        <v>2127768.566</v>
      </c>
      <c r="J30" s="31">
        <f t="shared" si="23"/>
        <v>3221988.073</v>
      </c>
      <c r="K30" s="31">
        <f t="shared" si="23"/>
        <v>5615982.406</v>
      </c>
      <c r="L30" s="31">
        <f t="shared" si="23"/>
        <v>9405612.33</v>
      </c>
      <c r="M30" s="26">
        <f t="shared" si="24"/>
        <v>2.165535825</v>
      </c>
    </row>
    <row r="31">
      <c r="B31" s="80" t="s">
        <v>63</v>
      </c>
      <c r="C31" s="81" t="s">
        <v>18</v>
      </c>
      <c r="D31" s="81" t="s">
        <v>18</v>
      </c>
      <c r="E31" s="82">
        <f>12000*12</f>
        <v>144000</v>
      </c>
      <c r="F31" s="82">
        <f>29000*12</f>
        <v>348000</v>
      </c>
      <c r="G31" s="83">
        <f>F31*3</f>
        <v>1044000</v>
      </c>
      <c r="H31" s="83">
        <f t="shared" ref="H31:L31" si="25">G31*1.7</f>
        <v>1774800</v>
      </c>
      <c r="I31" s="83">
        <f t="shared" si="25"/>
        <v>3017160</v>
      </c>
      <c r="J31" s="83">
        <f t="shared" si="25"/>
        <v>5129172</v>
      </c>
      <c r="K31" s="83">
        <f t="shared" si="25"/>
        <v>8719592.4</v>
      </c>
      <c r="L31" s="83">
        <f t="shared" si="25"/>
        <v>14823307.08</v>
      </c>
      <c r="M31" s="37">
        <f t="shared" ref="M31:M37" si="27">(L31/E31)^(1/7)</f>
        <v>1.938705319</v>
      </c>
      <c r="N31" s="4" t="s">
        <v>64</v>
      </c>
    </row>
    <row r="32">
      <c r="B32" s="84" t="s">
        <v>65</v>
      </c>
      <c r="C32" s="81" t="s">
        <v>66</v>
      </c>
      <c r="D32" s="81" t="s">
        <v>18</v>
      </c>
      <c r="E32" s="85">
        <f>1-(7/47)</f>
        <v>0.8510638298</v>
      </c>
      <c r="F32" s="85">
        <f>1-(20/97)</f>
        <v>0.793814433</v>
      </c>
      <c r="G32" s="86">
        <f t="shared" ref="G32:L32" si="26">F32-2%</f>
        <v>0.773814433</v>
      </c>
      <c r="H32" s="86">
        <f t="shared" si="26"/>
        <v>0.753814433</v>
      </c>
      <c r="I32" s="86">
        <f t="shared" si="26"/>
        <v>0.733814433</v>
      </c>
      <c r="J32" s="86">
        <f t="shared" si="26"/>
        <v>0.713814433</v>
      </c>
      <c r="K32" s="86">
        <f t="shared" si="26"/>
        <v>0.693814433</v>
      </c>
      <c r="L32" s="86">
        <f t="shared" si="26"/>
        <v>0.673814433</v>
      </c>
      <c r="M32" s="26">
        <f t="shared" si="27"/>
        <v>0.9671885978</v>
      </c>
      <c r="N32" s="45"/>
    </row>
    <row r="33">
      <c r="B33" s="76"/>
      <c r="C33" s="81" t="s">
        <v>67</v>
      </c>
      <c r="D33" s="81" t="s">
        <v>18</v>
      </c>
      <c r="E33" s="85">
        <f t="shared" ref="E33:L33" si="28">1-E32</f>
        <v>0.1489361702</v>
      </c>
      <c r="F33" s="85">
        <f t="shared" si="28"/>
        <v>0.206185567</v>
      </c>
      <c r="G33" s="86">
        <f t="shared" si="28"/>
        <v>0.226185567</v>
      </c>
      <c r="H33" s="86">
        <f t="shared" si="28"/>
        <v>0.246185567</v>
      </c>
      <c r="I33" s="86">
        <f t="shared" si="28"/>
        <v>0.266185567</v>
      </c>
      <c r="J33" s="86">
        <f t="shared" si="28"/>
        <v>0.286185567</v>
      </c>
      <c r="K33" s="86">
        <f t="shared" si="28"/>
        <v>0.306185567</v>
      </c>
      <c r="L33" s="86">
        <f t="shared" si="28"/>
        <v>0.326185567</v>
      </c>
      <c r="M33" s="26">
        <f t="shared" si="27"/>
        <v>1.11850465</v>
      </c>
      <c r="N33" s="4"/>
    </row>
    <row r="34">
      <c r="B34" s="80" t="s">
        <v>68</v>
      </c>
      <c r="C34" s="81" t="s">
        <v>18</v>
      </c>
      <c r="D34" s="81" t="s">
        <v>18</v>
      </c>
      <c r="E34" s="87">
        <v>29.0</v>
      </c>
      <c r="F34" s="87">
        <v>25.0</v>
      </c>
      <c r="G34" s="87">
        <v>17.0</v>
      </c>
      <c r="H34" s="88">
        <f t="shared" ref="H34:L34" si="29">G34-1</f>
        <v>16</v>
      </c>
      <c r="I34" s="88">
        <f t="shared" si="29"/>
        <v>15</v>
      </c>
      <c r="J34" s="88">
        <f t="shared" si="29"/>
        <v>14</v>
      </c>
      <c r="K34" s="88">
        <f t="shared" si="29"/>
        <v>13</v>
      </c>
      <c r="L34" s="88">
        <f t="shared" si="29"/>
        <v>12</v>
      </c>
      <c r="M34" s="26">
        <f t="shared" si="27"/>
        <v>0.8815658329</v>
      </c>
      <c r="N34" s="4" t="s">
        <v>69</v>
      </c>
    </row>
    <row r="35">
      <c r="B35" s="38" t="s">
        <v>70</v>
      </c>
      <c r="C35" s="39" t="s">
        <v>18</v>
      </c>
      <c r="D35" s="39" t="s">
        <v>18</v>
      </c>
      <c r="E35" s="40">
        <f t="shared" ref="E35:L35" si="30">E34*E31</f>
        <v>4176000</v>
      </c>
      <c r="F35" s="40">
        <f t="shared" si="30"/>
        <v>8700000</v>
      </c>
      <c r="G35" s="41">
        <f t="shared" si="30"/>
        <v>17748000</v>
      </c>
      <c r="H35" s="41">
        <f t="shared" si="30"/>
        <v>28396800</v>
      </c>
      <c r="I35" s="41">
        <f t="shared" si="30"/>
        <v>45257400</v>
      </c>
      <c r="J35" s="41">
        <f t="shared" si="30"/>
        <v>71808408</v>
      </c>
      <c r="K35" s="41">
        <f t="shared" si="30"/>
        <v>113354701.2</v>
      </c>
      <c r="L35" s="41">
        <f t="shared" si="30"/>
        <v>177879685</v>
      </c>
      <c r="M35" s="26">
        <f t="shared" si="27"/>
        <v>1.70909637</v>
      </c>
      <c r="N35" s="4" t="s">
        <v>71</v>
      </c>
    </row>
    <row r="36">
      <c r="B36" s="49" t="s">
        <v>72</v>
      </c>
      <c r="C36" s="50" t="s">
        <v>18</v>
      </c>
      <c r="D36" s="50" t="s">
        <v>18</v>
      </c>
      <c r="E36" s="53">
        <f>48.5%/0.8</f>
        <v>0.60625</v>
      </c>
      <c r="F36" s="53">
        <f>61%/0.75</f>
        <v>0.8133333333</v>
      </c>
      <c r="G36" s="54">
        <v>0.9</v>
      </c>
      <c r="H36" s="54">
        <v>0.9</v>
      </c>
      <c r="I36" s="54">
        <v>0.9</v>
      </c>
      <c r="J36" s="54">
        <f t="shared" ref="J36:K36" si="31">I36+5%</f>
        <v>0.95</v>
      </c>
      <c r="K36" s="54">
        <f t="shared" si="31"/>
        <v>1</v>
      </c>
      <c r="L36" s="54">
        <v>1.0</v>
      </c>
      <c r="M36" s="26">
        <f t="shared" si="27"/>
        <v>1.074112448</v>
      </c>
      <c r="N36" s="4" t="s">
        <v>73</v>
      </c>
    </row>
    <row r="37">
      <c r="B37" s="89" t="s">
        <v>74</v>
      </c>
      <c r="C37" s="90" t="s">
        <v>18</v>
      </c>
      <c r="D37" s="91" t="s">
        <v>18</v>
      </c>
      <c r="E37" s="92">
        <f t="shared" ref="E37:L37" si="32">E36*E35</f>
        <v>2531700</v>
      </c>
      <c r="F37" s="92">
        <f t="shared" si="32"/>
        <v>7076000</v>
      </c>
      <c r="G37" s="93">
        <f t="shared" si="32"/>
        <v>15973200</v>
      </c>
      <c r="H37" s="93">
        <f t="shared" si="32"/>
        <v>25557120</v>
      </c>
      <c r="I37" s="93">
        <f t="shared" si="32"/>
        <v>40731660</v>
      </c>
      <c r="J37" s="93">
        <f t="shared" si="32"/>
        <v>68217987.6</v>
      </c>
      <c r="K37" s="93">
        <f t="shared" si="32"/>
        <v>113354701.2</v>
      </c>
      <c r="L37" s="93">
        <f t="shared" si="32"/>
        <v>177879685</v>
      </c>
      <c r="M37" s="26">
        <f t="shared" si="27"/>
        <v>1.835761686</v>
      </c>
    </row>
    <row r="38">
      <c r="B38" s="16" t="s">
        <v>75</v>
      </c>
      <c r="C38" s="94"/>
      <c r="D38" s="17"/>
      <c r="E38" s="34"/>
      <c r="F38" s="34"/>
      <c r="G38" s="35"/>
      <c r="H38" s="35"/>
      <c r="I38" s="35"/>
      <c r="J38" s="35"/>
      <c r="K38" s="35"/>
      <c r="L38" s="36"/>
      <c r="M38" s="37"/>
    </row>
    <row r="39">
      <c r="B39" s="38" t="s">
        <v>76</v>
      </c>
      <c r="C39" s="95"/>
      <c r="D39" s="96"/>
      <c r="E39" s="97"/>
      <c r="F39" s="97"/>
      <c r="G39" s="41"/>
      <c r="H39" s="41"/>
      <c r="I39" s="41"/>
      <c r="J39" s="41"/>
      <c r="K39" s="41"/>
      <c r="L39" s="42"/>
      <c r="M39" s="26"/>
    </row>
    <row r="40">
      <c r="B40" s="38" t="s">
        <v>77</v>
      </c>
      <c r="C40" s="95"/>
      <c r="D40" s="96"/>
      <c r="E40" s="97"/>
      <c r="F40" s="97"/>
      <c r="G40" s="41"/>
      <c r="H40" s="41"/>
      <c r="I40" s="41"/>
      <c r="J40" s="41"/>
      <c r="K40" s="41"/>
      <c r="L40" s="42"/>
      <c r="M40" s="26"/>
    </row>
    <row r="41">
      <c r="B41" s="29" t="s">
        <v>78</v>
      </c>
      <c r="C41" s="98"/>
      <c r="D41" s="99"/>
      <c r="E41" s="100"/>
      <c r="F41" s="100"/>
      <c r="G41" s="31"/>
      <c r="H41" s="31"/>
      <c r="I41" s="31"/>
      <c r="J41" s="31"/>
      <c r="K41" s="31"/>
      <c r="L41" s="101"/>
      <c r="M41" s="26"/>
    </row>
    <row r="42">
      <c r="B42" s="22" t="s">
        <v>79</v>
      </c>
      <c r="C42" s="102"/>
      <c r="D42" s="103"/>
      <c r="E42" s="104"/>
      <c r="F42" s="104"/>
      <c r="G42" s="28"/>
      <c r="H42" s="28"/>
      <c r="I42" s="28"/>
      <c r="J42" s="28"/>
      <c r="K42" s="28"/>
      <c r="L42" s="105"/>
      <c r="M42" s="26"/>
    </row>
    <row r="43">
      <c r="B43" s="22" t="s">
        <v>80</v>
      </c>
      <c r="C43" s="102"/>
      <c r="D43" s="103"/>
      <c r="E43" s="104"/>
      <c r="F43" s="104"/>
      <c r="G43" s="28"/>
      <c r="H43" s="28"/>
      <c r="I43" s="28"/>
      <c r="J43" s="28"/>
      <c r="K43" s="28"/>
      <c r="L43" s="105"/>
      <c r="M43" s="26"/>
    </row>
    <row r="44">
      <c r="B44" s="22" t="s">
        <v>81</v>
      </c>
      <c r="C44" s="102"/>
      <c r="D44" s="103"/>
      <c r="E44" s="104"/>
      <c r="F44" s="104"/>
      <c r="G44" s="28"/>
      <c r="H44" s="28"/>
      <c r="I44" s="28"/>
      <c r="J44" s="28"/>
      <c r="K44" s="28"/>
      <c r="L44" s="105"/>
      <c r="M44" s="26"/>
    </row>
    <row r="45">
      <c r="B45" s="22" t="s">
        <v>82</v>
      </c>
      <c r="C45" s="106"/>
      <c r="D45" s="103"/>
      <c r="E45" s="104"/>
      <c r="F45" s="104"/>
      <c r="G45" s="28"/>
      <c r="H45" s="28"/>
      <c r="I45" s="28"/>
      <c r="J45" s="28"/>
      <c r="K45" s="28"/>
      <c r="L45" s="105"/>
      <c r="M45" s="26"/>
    </row>
    <row r="46">
      <c r="B46" s="107" t="s">
        <v>83</v>
      </c>
      <c r="C46" s="108" t="s">
        <v>18</v>
      </c>
      <c r="D46" s="109">
        <v>1000000.0</v>
      </c>
      <c r="E46" s="110">
        <v>1500000.0</v>
      </c>
      <c r="F46" s="111">
        <f>MINA(F37*F36, F22*F23, F12*F13)*(814/F5)</f>
        <v>4332000</v>
      </c>
      <c r="G46" s="109">
        <f t="shared" ref="G46:L46" si="33">MINA(G37*G36, G22*G23, G12*G13)</f>
        <v>7660454.545</v>
      </c>
      <c r="H46" s="109">
        <f t="shared" si="33"/>
        <v>11885123.23</v>
      </c>
      <c r="I46" s="109">
        <f t="shared" si="33"/>
        <v>20852131.94</v>
      </c>
      <c r="J46" s="109">
        <f t="shared" si="33"/>
        <v>31575483.11</v>
      </c>
      <c r="K46" s="109">
        <f t="shared" si="33"/>
        <v>55036627.58</v>
      </c>
      <c r="L46" s="109">
        <f t="shared" si="33"/>
        <v>92175000.83</v>
      </c>
      <c r="M46" s="37">
        <f t="shared" ref="M46:M52" si="35">(L46/E46)^(1/7)</f>
        <v>1.800956103</v>
      </c>
      <c r="N46" s="1" t="s">
        <v>84</v>
      </c>
      <c r="O46" s="44" t="s">
        <v>85</v>
      </c>
    </row>
    <row r="47">
      <c r="B47" s="112" t="s">
        <v>86</v>
      </c>
      <c r="C47" s="113">
        <v>32.0</v>
      </c>
      <c r="D47" s="114">
        <v>35.0</v>
      </c>
      <c r="E47" s="114">
        <v>50.0</v>
      </c>
      <c r="F47" s="114">
        <f t="shared" ref="F47:L47" si="34">E47*F46/E46</f>
        <v>144.4</v>
      </c>
      <c r="G47" s="115">
        <f t="shared" si="34"/>
        <v>255.3484848</v>
      </c>
      <c r="H47" s="115">
        <f t="shared" si="34"/>
        <v>396.1707744</v>
      </c>
      <c r="I47" s="115">
        <f t="shared" si="34"/>
        <v>695.0710648</v>
      </c>
      <c r="J47" s="115">
        <f t="shared" si="34"/>
        <v>1052.516104</v>
      </c>
      <c r="K47" s="115">
        <f t="shared" si="34"/>
        <v>1834.554253</v>
      </c>
      <c r="L47" s="116">
        <f t="shared" si="34"/>
        <v>3072.500028</v>
      </c>
      <c r="M47" s="26">
        <f t="shared" si="35"/>
        <v>1.800956103</v>
      </c>
      <c r="N47" s="45" t="s">
        <v>87</v>
      </c>
    </row>
    <row r="48">
      <c r="B48" s="38" t="s">
        <v>88</v>
      </c>
      <c r="C48" s="117"/>
      <c r="D48" s="41">
        <f t="shared" ref="D48:L48" si="36">D46*D6</f>
        <v>6.3E+20</v>
      </c>
      <c r="E48" s="41">
        <f t="shared" si="36"/>
        <v>3E+21</v>
      </c>
      <c r="F48" s="41">
        <f t="shared" si="36"/>
        <v>8.664E+21</v>
      </c>
      <c r="G48" s="41">
        <f t="shared" si="36"/>
        <v>3.83023E+22</v>
      </c>
      <c r="H48" s="41">
        <f t="shared" si="36"/>
        <v>5.94256E+22</v>
      </c>
      <c r="I48" s="41">
        <f t="shared" si="36"/>
        <v>2.50226E+23</v>
      </c>
      <c r="J48" s="41">
        <f t="shared" si="36"/>
        <v>3.78906E+23</v>
      </c>
      <c r="K48" s="41">
        <f t="shared" si="36"/>
        <v>1.10073E+24</v>
      </c>
      <c r="L48" s="41">
        <f t="shared" si="36"/>
        <v>1.8435E+24</v>
      </c>
      <c r="M48" s="26">
        <f t="shared" si="35"/>
        <v>2.502420391</v>
      </c>
      <c r="N48" s="45"/>
    </row>
    <row r="49">
      <c r="B49" s="38" t="s">
        <v>89</v>
      </c>
      <c r="C49" s="117" t="s">
        <v>18</v>
      </c>
      <c r="D49" s="41">
        <f t="shared" ref="D49:L49" si="37">D46*D7</f>
        <v>3.15E+20</v>
      </c>
      <c r="E49" s="41">
        <f t="shared" si="37"/>
        <v>1.5E+21</v>
      </c>
      <c r="F49" s="41">
        <f t="shared" si="37"/>
        <v>4.332E+21</v>
      </c>
      <c r="G49" s="41">
        <f t="shared" si="37"/>
        <v>1.91511E+22</v>
      </c>
      <c r="H49" s="41">
        <f t="shared" si="37"/>
        <v>2.97128E+22</v>
      </c>
      <c r="I49" s="41">
        <f t="shared" si="37"/>
        <v>1.25113E+23</v>
      </c>
      <c r="J49" s="41">
        <f t="shared" si="37"/>
        <v>1.89453E+23</v>
      </c>
      <c r="K49" s="41">
        <f t="shared" si="37"/>
        <v>5.50366E+23</v>
      </c>
      <c r="L49" s="41">
        <f t="shared" si="37"/>
        <v>9.2175E+23</v>
      </c>
      <c r="M49" s="26">
        <f t="shared" si="35"/>
        <v>2.502420391</v>
      </c>
      <c r="N49" s="45" t="s">
        <v>90</v>
      </c>
    </row>
    <row r="50">
      <c r="B50" s="38" t="s">
        <v>91</v>
      </c>
      <c r="C50" s="117" t="s">
        <v>18</v>
      </c>
      <c r="D50" s="41">
        <f t="shared" ref="D50:L50" si="38">IF($K$1="FP16", D49, D48)*3.1*10^7</f>
        <v>9.765E+27</v>
      </c>
      <c r="E50" s="41">
        <f t="shared" si="38"/>
        <v>4.65E+28</v>
      </c>
      <c r="F50" s="41">
        <f t="shared" si="38"/>
        <v>1.34292E+29</v>
      </c>
      <c r="G50" s="41">
        <f t="shared" si="38"/>
        <v>5.93685E+29</v>
      </c>
      <c r="H50" s="41">
        <f t="shared" si="38"/>
        <v>9.21097E+29</v>
      </c>
      <c r="I50" s="41">
        <f t="shared" si="38"/>
        <v>3.8785E+30</v>
      </c>
      <c r="J50" s="41">
        <f t="shared" si="38"/>
        <v>5.87304E+30</v>
      </c>
      <c r="K50" s="41">
        <f t="shared" si="38"/>
        <v>1.70614E+31</v>
      </c>
      <c r="L50" s="41">
        <f t="shared" si="38"/>
        <v>2.85743E+31</v>
      </c>
      <c r="M50" s="26">
        <f t="shared" si="35"/>
        <v>2.502420391</v>
      </c>
      <c r="N50" s="45" t="s">
        <v>92</v>
      </c>
    </row>
    <row r="51">
      <c r="B51" s="29" t="s">
        <v>93</v>
      </c>
      <c r="C51" s="98">
        <f>C57</f>
        <v>2.24433E+28</v>
      </c>
      <c r="D51" s="31">
        <f>C51+D50</f>
        <v>3.22083E+28</v>
      </c>
      <c r="E51" s="31">
        <f t="shared" ref="E51:L51" si="39">E50+D51</f>
        <v>7.87083E+28</v>
      </c>
      <c r="F51" s="31">
        <f t="shared" si="39"/>
        <v>2.13E+29</v>
      </c>
      <c r="G51" s="31">
        <f t="shared" si="39"/>
        <v>8.06686E+29</v>
      </c>
      <c r="H51" s="31">
        <f t="shared" si="39"/>
        <v>1.72778E+30</v>
      </c>
      <c r="I51" s="31">
        <f t="shared" si="39"/>
        <v>5.60628E+30</v>
      </c>
      <c r="J51" s="31">
        <f t="shared" si="39"/>
        <v>1.14793E+31</v>
      </c>
      <c r="K51" s="31">
        <f t="shared" si="39"/>
        <v>2.85407E+31</v>
      </c>
      <c r="L51" s="101">
        <f t="shared" si="39"/>
        <v>5.71149E+31</v>
      </c>
      <c r="M51" s="118">
        <f t="shared" si="35"/>
        <v>2.562569117</v>
      </c>
      <c r="N51" s="45" t="s">
        <v>94</v>
      </c>
    </row>
    <row r="52">
      <c r="B52" s="84" t="s">
        <v>95</v>
      </c>
      <c r="C52" s="28"/>
      <c r="D52" s="28"/>
      <c r="E52" s="25">
        <f t="shared" ref="E52:F52" si="40">1000</f>
        <v>1000</v>
      </c>
      <c r="F52" s="25">
        <f t="shared" si="40"/>
        <v>1000</v>
      </c>
      <c r="G52" s="25">
        <v>1667.0</v>
      </c>
      <c r="H52" s="25">
        <v>1667.0</v>
      </c>
      <c r="I52" s="25">
        <v>2600.0</v>
      </c>
      <c r="J52" s="25">
        <v>2600.0</v>
      </c>
      <c r="K52" s="25">
        <v>2400.0</v>
      </c>
      <c r="L52" s="25">
        <v>2400.0</v>
      </c>
      <c r="M52" s="37">
        <f t="shared" si="35"/>
        <v>1.133224334</v>
      </c>
      <c r="N52" s="27" t="s">
        <v>96</v>
      </c>
    </row>
    <row r="53">
      <c r="B53" s="84" t="s">
        <v>97</v>
      </c>
      <c r="C53" s="28"/>
      <c r="D53" s="28"/>
      <c r="E53" s="119">
        <f t="shared" ref="E53:L53" si="41">E7/1000000000000000/(E52/1000)</f>
        <v>1</v>
      </c>
      <c r="F53" s="119">
        <f t="shared" si="41"/>
        <v>1</v>
      </c>
      <c r="G53" s="119">
        <f t="shared" si="41"/>
        <v>1.49970006</v>
      </c>
      <c r="H53" s="119">
        <f t="shared" si="41"/>
        <v>1.49970006</v>
      </c>
      <c r="I53" s="119">
        <f t="shared" si="41"/>
        <v>2.307692308</v>
      </c>
      <c r="J53" s="119">
        <f t="shared" si="41"/>
        <v>2.307692308</v>
      </c>
      <c r="K53" s="119">
        <f t="shared" si="41"/>
        <v>4.166666667</v>
      </c>
      <c r="L53" s="119">
        <f t="shared" si="41"/>
        <v>4.166666667</v>
      </c>
      <c r="M53" s="26">
        <f t="shared" ref="M53:M54" si="43">(L53/E53)^(1/(COUNT(E53:L53)-1))</f>
        <v>1.226143362</v>
      </c>
      <c r="N53" s="32" t="s">
        <v>23</v>
      </c>
    </row>
    <row r="54">
      <c r="B54" s="120" t="s">
        <v>98</v>
      </c>
      <c r="C54" s="93"/>
      <c r="D54" s="93"/>
      <c r="E54" s="121">
        <f t="shared" ref="E54:L54" si="42">E51/365/24/60/60/1000000000000000/E53</f>
        <v>2495823.556</v>
      </c>
      <c r="F54" s="121">
        <f t="shared" si="42"/>
        <v>6754194.941</v>
      </c>
      <c r="G54" s="121">
        <f t="shared" si="42"/>
        <v>17056630.65</v>
      </c>
      <c r="H54" s="121">
        <f t="shared" si="42"/>
        <v>36532388.93</v>
      </c>
      <c r="I54" s="121">
        <f t="shared" si="42"/>
        <v>77035375.91</v>
      </c>
      <c r="J54" s="121">
        <f t="shared" si="42"/>
        <v>157736287.2</v>
      </c>
      <c r="K54" s="121">
        <f t="shared" si="42"/>
        <v>217204516.9</v>
      </c>
      <c r="L54" s="121">
        <f t="shared" si="42"/>
        <v>434664564.5</v>
      </c>
      <c r="M54" s="26">
        <f t="shared" si="43"/>
        <v>2.089942495</v>
      </c>
      <c r="N54" s="1"/>
    </row>
    <row r="55">
      <c r="B55" s="84" t="s">
        <v>99</v>
      </c>
      <c r="C55" s="28">
        <f t="shared" ref="C55:L55" si="44">C51/30000000/C47/1000000000</f>
        <v>23378428820</v>
      </c>
      <c r="D55" s="28">
        <f t="shared" si="44"/>
        <v>30674563492</v>
      </c>
      <c r="E55" s="28">
        <f t="shared" si="44"/>
        <v>52472194445</v>
      </c>
      <c r="F55" s="28">
        <f t="shared" si="44"/>
        <v>49169042398</v>
      </c>
      <c r="G55" s="28">
        <f t="shared" si="44"/>
        <v>105305176625</v>
      </c>
      <c r="H55" s="28">
        <f t="shared" si="44"/>
        <v>145373551092</v>
      </c>
      <c r="I55" s="28">
        <f t="shared" si="44"/>
        <v>268858797083</v>
      </c>
      <c r="J55" s="28">
        <f t="shared" si="44"/>
        <v>363551649516</v>
      </c>
      <c r="K55" s="28">
        <f t="shared" si="44"/>
        <v>518575987942</v>
      </c>
      <c r="L55" s="28">
        <f t="shared" si="44"/>
        <v>619635728352</v>
      </c>
      <c r="M55" s="26">
        <f t="shared" ref="M55:M56" si="46">(L55/D55)^(1/(COUNT(D55:L55)-1))</f>
        <v>1.456028103</v>
      </c>
      <c r="N55" s="1"/>
    </row>
    <row r="56">
      <c r="B56" s="122" t="s">
        <v>100</v>
      </c>
      <c r="C56" s="82">
        <f>D56*2^-(1/2.07)</f>
        <v>22624285955</v>
      </c>
      <c r="D56" s="82">
        <f>10^10.5</f>
        <v>31622776602</v>
      </c>
      <c r="E56" s="83">
        <f t="shared" ref="E56:L56" si="45">D56*2^(1/2.07)</f>
        <v>44200289989</v>
      </c>
      <c r="F56" s="83">
        <f t="shared" si="45"/>
        <v>61780331934</v>
      </c>
      <c r="G56" s="83">
        <f t="shared" si="45"/>
        <v>86352587615</v>
      </c>
      <c r="H56" s="83">
        <f t="shared" si="45"/>
        <v>120698111428</v>
      </c>
      <c r="I56" s="83">
        <f t="shared" si="45"/>
        <v>168704082930</v>
      </c>
      <c r="J56" s="83">
        <f t="shared" si="45"/>
        <v>235803752523</v>
      </c>
      <c r="K56" s="83">
        <f t="shared" si="45"/>
        <v>329591369327</v>
      </c>
      <c r="L56" s="123">
        <f t="shared" si="45"/>
        <v>460681687941</v>
      </c>
      <c r="M56" s="26">
        <f t="shared" si="46"/>
        <v>1.397735896</v>
      </c>
      <c r="N56" s="21" t="s">
        <v>101</v>
      </c>
    </row>
    <row r="57">
      <c r="B57" s="72" t="s">
        <v>102</v>
      </c>
      <c r="C57" s="31">
        <f t="shared" ref="C57:F57" si="47">C56*C47*10^9*3.1*10^7</f>
        <v>2.24433E+28</v>
      </c>
      <c r="D57" s="31">
        <f t="shared" si="47"/>
        <v>3.43107E+28</v>
      </c>
      <c r="E57" s="31">
        <f t="shared" si="47"/>
        <v>6.85104E+28</v>
      </c>
      <c r="F57" s="31">
        <f t="shared" si="47"/>
        <v>2.76553E+29</v>
      </c>
      <c r="G57" s="31">
        <f>G56*F47*($F$47/$E$47)*10^9*3.1*10^7</f>
        <v>1.11635E+30</v>
      </c>
      <c r="H57" s="31">
        <f>H56*$E47*($F$47/$E$47)^2*10^9*3.1*10^7</f>
        <v>1.56037E+30</v>
      </c>
      <c r="I57" s="31">
        <f>I56*$E47*($F$47/$E$47)^3*10^9*3.1*10^7</f>
        <v>6.29867E+30</v>
      </c>
      <c r="J57" s="31">
        <f>J56*$E47*($F$47/$E$47)^4*10^9*3.1*10^7</f>
        <v>2.54256E+31</v>
      </c>
      <c r="K57" s="31">
        <f>K56*$E47*($F$47/$E$47)^5*10^9*3.1*10^7</f>
        <v>1.02635E+32</v>
      </c>
      <c r="L57" s="101">
        <f>L56*$E47*($F$47/$E$47)^6*10^9*3.1*10^7</f>
        <v>4.14301E+32</v>
      </c>
      <c r="M57" s="26">
        <f>(L57/E57)^(1/7)</f>
        <v>3.469147051</v>
      </c>
      <c r="N57" s="1" t="s">
        <v>103</v>
      </c>
    </row>
    <row r="58">
      <c r="B58" s="124" t="s">
        <v>104</v>
      </c>
      <c r="C58" s="125" t="s">
        <v>105</v>
      </c>
      <c r="D58" s="126" t="s">
        <v>18</v>
      </c>
      <c r="E58" s="127">
        <v>0.015</v>
      </c>
      <c r="F58" s="128">
        <v>0.03</v>
      </c>
      <c r="G58" s="128">
        <v>0.12</v>
      </c>
      <c r="H58" s="128">
        <v>0.15</v>
      </c>
      <c r="I58" s="128">
        <v>0.2</v>
      </c>
      <c r="J58" s="128">
        <v>0.2</v>
      </c>
      <c r="K58" s="128">
        <v>0.2</v>
      </c>
      <c r="L58" s="129">
        <v>0.2</v>
      </c>
      <c r="M58" s="130" t="s">
        <v>18</v>
      </c>
      <c r="N58" s="4" t="s">
        <v>106</v>
      </c>
    </row>
    <row r="59">
      <c r="B59" s="75"/>
      <c r="C59" s="131" t="s">
        <v>107</v>
      </c>
      <c r="D59" s="132" t="s">
        <v>18</v>
      </c>
      <c r="E59" s="133">
        <v>0.025</v>
      </c>
      <c r="F59" s="134">
        <v>0.06</v>
      </c>
      <c r="G59" s="134">
        <v>0.15</v>
      </c>
      <c r="H59" s="134">
        <v>0.2</v>
      </c>
      <c r="I59" s="134">
        <v>0.2</v>
      </c>
      <c r="J59" s="134">
        <v>0.2</v>
      </c>
      <c r="K59" s="134">
        <v>0.2</v>
      </c>
      <c r="L59" s="135">
        <v>0.2</v>
      </c>
      <c r="M59" s="136" t="s">
        <v>18</v>
      </c>
      <c r="N59" s="4" t="s">
        <v>108</v>
      </c>
    </row>
    <row r="60">
      <c r="B60" s="75"/>
      <c r="C60" s="137" t="s">
        <v>109</v>
      </c>
      <c r="D60" s="138" t="s">
        <v>18</v>
      </c>
      <c r="E60" s="139">
        <v>0.005</v>
      </c>
      <c r="F60" s="139">
        <v>0.015</v>
      </c>
      <c r="G60" s="140">
        <v>0.06</v>
      </c>
      <c r="H60" s="140">
        <v>0.12</v>
      </c>
      <c r="I60" s="140">
        <v>0.15</v>
      </c>
      <c r="J60" s="140">
        <v>0.15</v>
      </c>
      <c r="K60" s="140">
        <v>0.15</v>
      </c>
      <c r="L60" s="141">
        <v>0.15</v>
      </c>
      <c r="M60" s="136" t="s">
        <v>18</v>
      </c>
      <c r="N60" s="4" t="s">
        <v>110</v>
      </c>
    </row>
    <row r="61">
      <c r="B61" s="77"/>
      <c r="C61" s="142" t="s">
        <v>111</v>
      </c>
      <c r="D61" s="79" t="s">
        <v>18</v>
      </c>
      <c r="E61" s="143">
        <f t="shared" ref="E61:L61" si="48">1-E60-E59-E58</f>
        <v>0.955</v>
      </c>
      <c r="F61" s="143">
        <f t="shared" si="48"/>
        <v>0.895</v>
      </c>
      <c r="G61" s="143">
        <f t="shared" si="48"/>
        <v>0.67</v>
      </c>
      <c r="H61" s="143">
        <f t="shared" si="48"/>
        <v>0.53</v>
      </c>
      <c r="I61" s="143">
        <f t="shared" si="48"/>
        <v>0.45</v>
      </c>
      <c r="J61" s="143">
        <f t="shared" si="48"/>
        <v>0.45</v>
      </c>
      <c r="K61" s="143">
        <f t="shared" si="48"/>
        <v>0.45</v>
      </c>
      <c r="L61" s="143">
        <f t="shared" si="48"/>
        <v>0.45</v>
      </c>
      <c r="M61" s="144"/>
      <c r="N61" s="4"/>
    </row>
    <row r="62">
      <c r="B62" s="122" t="s">
        <v>112</v>
      </c>
      <c r="C62" s="145" t="s">
        <v>113</v>
      </c>
      <c r="D62" s="81" t="s">
        <v>18</v>
      </c>
      <c r="E62" s="83">
        <v>5.0E8</v>
      </c>
      <c r="F62" s="83">
        <f>E62*3</f>
        <v>1500000000</v>
      </c>
      <c r="G62" s="83">
        <f t="shared" ref="G62:H62" si="49">F62*4</f>
        <v>6000000000</v>
      </c>
      <c r="H62" s="83">
        <f t="shared" si="49"/>
        <v>24000000000</v>
      </c>
      <c r="I62" s="83">
        <f t="shared" ref="I62:L62" si="50">H62*3</f>
        <v>72000000000</v>
      </c>
      <c r="J62" s="83">
        <f t="shared" si="50"/>
        <v>216000000000</v>
      </c>
      <c r="K62" s="83">
        <f t="shared" si="50"/>
        <v>648000000000</v>
      </c>
      <c r="L62" s="123">
        <f t="shared" si="50"/>
        <v>1944000000000</v>
      </c>
      <c r="M62" s="37">
        <f t="shared" ref="M62:M77" si="52">(L62/E62)^(1/7)</f>
        <v>3.257002085</v>
      </c>
      <c r="N62" s="45" t="s">
        <v>114</v>
      </c>
    </row>
    <row r="63">
      <c r="B63" s="66" t="s">
        <v>115</v>
      </c>
      <c r="C63" s="146" t="s">
        <v>116</v>
      </c>
      <c r="D63" s="39" t="s">
        <v>18</v>
      </c>
      <c r="E63" s="41">
        <f t="shared" ref="E63:L63" si="51">E62*100*10^15</f>
        <v>5E+25</v>
      </c>
      <c r="F63" s="41">
        <f t="shared" si="51"/>
        <v>1.5E+26</v>
      </c>
      <c r="G63" s="41">
        <f t="shared" si="51"/>
        <v>6E+26</v>
      </c>
      <c r="H63" s="41">
        <f t="shared" si="51"/>
        <v>2.4E+27</v>
      </c>
      <c r="I63" s="41">
        <f t="shared" si="51"/>
        <v>7.2E+27</v>
      </c>
      <c r="J63" s="41">
        <f t="shared" si="51"/>
        <v>2.16E+28</v>
      </c>
      <c r="K63" s="41">
        <f t="shared" si="51"/>
        <v>6.48E+28</v>
      </c>
      <c r="L63" s="41">
        <f t="shared" si="51"/>
        <v>1.944E+29</v>
      </c>
      <c r="M63" s="26">
        <f t="shared" si="52"/>
        <v>3.257002085</v>
      </c>
      <c r="N63" s="1" t="s">
        <v>117</v>
      </c>
    </row>
    <row r="64">
      <c r="B64" s="66" t="s">
        <v>118</v>
      </c>
      <c r="C64" s="146" t="s">
        <v>119</v>
      </c>
      <c r="D64" s="39" t="s">
        <v>18</v>
      </c>
      <c r="E64" s="47">
        <f t="shared" ref="E64:L64" si="53">E63/($E$7*31000000*0.1)</f>
        <v>16129.03226</v>
      </c>
      <c r="F64" s="47">
        <f t="shared" si="53"/>
        <v>48387.09677</v>
      </c>
      <c r="G64" s="47">
        <f t="shared" si="53"/>
        <v>193548.3871</v>
      </c>
      <c r="H64" s="47">
        <f t="shared" si="53"/>
        <v>774193.5484</v>
      </c>
      <c r="I64" s="47">
        <f t="shared" si="53"/>
        <v>2322580.645</v>
      </c>
      <c r="J64" s="47">
        <f t="shared" si="53"/>
        <v>6967741.935</v>
      </c>
      <c r="K64" s="47">
        <f t="shared" si="53"/>
        <v>20903225.81</v>
      </c>
      <c r="L64" s="47">
        <f t="shared" si="53"/>
        <v>62709677.42</v>
      </c>
      <c r="M64" s="26">
        <f t="shared" si="52"/>
        <v>3.257002085</v>
      </c>
      <c r="N64" s="45" t="s">
        <v>120</v>
      </c>
    </row>
    <row r="65">
      <c r="B65" s="72" t="s">
        <v>121</v>
      </c>
      <c r="C65" s="147" t="s">
        <v>122</v>
      </c>
      <c r="D65" s="50" t="s">
        <v>18</v>
      </c>
      <c r="E65" s="54">
        <f>E63/(E51*E58*0.2)</f>
        <v>0.211752362</v>
      </c>
      <c r="F65" s="54">
        <f>F63/(F58*F51*0.2)</f>
        <v>0.1173707313</v>
      </c>
      <c r="G65" s="54">
        <f t="shared" ref="G65:L65" si="54">G64/(G51*G58/31000000/1000000000000000)</f>
        <v>0.06198202252</v>
      </c>
      <c r="H65" s="54">
        <f t="shared" si="54"/>
        <v>0.09260424479</v>
      </c>
      <c r="I65" s="54">
        <f t="shared" si="54"/>
        <v>0.06421371339</v>
      </c>
      <c r="J65" s="54">
        <f t="shared" si="54"/>
        <v>0.09408223631</v>
      </c>
      <c r="K65" s="54">
        <f t="shared" si="54"/>
        <v>0.1135221983</v>
      </c>
      <c r="L65" s="54">
        <f t="shared" si="54"/>
        <v>0.1701831913</v>
      </c>
      <c r="M65" s="26">
        <f t="shared" si="52"/>
        <v>0.9692620301</v>
      </c>
      <c r="N65" s="45" t="s">
        <v>123</v>
      </c>
    </row>
    <row r="66">
      <c r="B66" s="124" t="s">
        <v>124</v>
      </c>
      <c r="C66" s="148" t="s">
        <v>105</v>
      </c>
      <c r="D66" s="17" t="s">
        <v>18</v>
      </c>
      <c r="E66" s="35">
        <f t="shared" ref="E66:L66" si="55">E58*E$51*0.5</f>
        <v>5.90312E+26</v>
      </c>
      <c r="F66" s="35">
        <f t="shared" si="55"/>
        <v>3.195E+27</v>
      </c>
      <c r="G66" s="35">
        <f t="shared" si="55"/>
        <v>4.84011E+28</v>
      </c>
      <c r="H66" s="35">
        <f t="shared" si="55"/>
        <v>1.29584E+29</v>
      </c>
      <c r="I66" s="35">
        <f t="shared" si="55"/>
        <v>5.60628E+29</v>
      </c>
      <c r="J66" s="35">
        <f t="shared" si="55"/>
        <v>1.14793E+30</v>
      </c>
      <c r="K66" s="35">
        <f t="shared" si="55"/>
        <v>2.85407E+30</v>
      </c>
      <c r="L66" s="35">
        <f t="shared" si="55"/>
        <v>5.71149E+30</v>
      </c>
      <c r="M66" s="37">
        <f t="shared" si="52"/>
        <v>3.71006161</v>
      </c>
      <c r="N66" s="45" t="s">
        <v>125</v>
      </c>
    </row>
    <row r="67">
      <c r="B67" s="75"/>
      <c r="C67" s="146" t="s">
        <v>107</v>
      </c>
      <c r="D67" s="39" t="s">
        <v>18</v>
      </c>
      <c r="E67" s="41">
        <f t="shared" ref="E67:L67" si="56">E59*E$51*0.5</f>
        <v>9.83854E+26</v>
      </c>
      <c r="F67" s="41">
        <f t="shared" si="56"/>
        <v>6.39001E+27</v>
      </c>
      <c r="G67" s="41">
        <f t="shared" si="56"/>
        <v>6.05014E+28</v>
      </c>
      <c r="H67" s="41">
        <f t="shared" si="56"/>
        <v>1.72778E+29</v>
      </c>
      <c r="I67" s="41">
        <f t="shared" si="56"/>
        <v>5.60628E+29</v>
      </c>
      <c r="J67" s="41">
        <f t="shared" si="56"/>
        <v>1.14793E+30</v>
      </c>
      <c r="K67" s="41">
        <f t="shared" si="56"/>
        <v>2.85407E+30</v>
      </c>
      <c r="L67" s="41">
        <f t="shared" si="56"/>
        <v>5.71149E+30</v>
      </c>
      <c r="M67" s="26">
        <f t="shared" si="52"/>
        <v>3.448962268</v>
      </c>
      <c r="N67" s="45" t="s">
        <v>126</v>
      </c>
    </row>
    <row r="68">
      <c r="B68" s="77"/>
      <c r="C68" s="149" t="s">
        <v>109</v>
      </c>
      <c r="D68" s="79" t="s">
        <v>18</v>
      </c>
      <c r="E68" s="31">
        <f t="shared" ref="E68:L68" si="57">E60*E$51*0.5</f>
        <v>1.96771E+26</v>
      </c>
      <c r="F68" s="31">
        <f t="shared" si="57"/>
        <v>1.5975E+27</v>
      </c>
      <c r="G68" s="31">
        <f t="shared" si="57"/>
        <v>2.42006E+28</v>
      </c>
      <c r="H68" s="31">
        <f t="shared" si="57"/>
        <v>1.03667E+29</v>
      </c>
      <c r="I68" s="31">
        <f t="shared" si="57"/>
        <v>4.20471E+29</v>
      </c>
      <c r="J68" s="31">
        <f t="shared" si="57"/>
        <v>8.60949E+29</v>
      </c>
      <c r="K68" s="31">
        <f t="shared" si="57"/>
        <v>2.14055E+30</v>
      </c>
      <c r="L68" s="31">
        <f t="shared" si="57"/>
        <v>4.28362E+30</v>
      </c>
      <c r="M68" s="26">
        <f t="shared" si="52"/>
        <v>4.16574719</v>
      </c>
      <c r="N68" s="45" t="s">
        <v>127</v>
      </c>
    </row>
    <row r="69">
      <c r="B69" s="84" t="s">
        <v>128</v>
      </c>
      <c r="C69" s="150" t="s">
        <v>129</v>
      </c>
      <c r="D69" s="81" t="s">
        <v>18</v>
      </c>
      <c r="E69" s="83">
        <v>1300.0</v>
      </c>
      <c r="F69" s="83">
        <f t="shared" ref="F69:L69" si="58">E69*1.03</f>
        <v>1339</v>
      </c>
      <c r="G69" s="83">
        <f t="shared" si="58"/>
        <v>1379.17</v>
      </c>
      <c r="H69" s="83">
        <f t="shared" si="58"/>
        <v>1420.5451</v>
      </c>
      <c r="I69" s="83">
        <f t="shared" si="58"/>
        <v>1463.161453</v>
      </c>
      <c r="J69" s="83">
        <f t="shared" si="58"/>
        <v>1507.056297</v>
      </c>
      <c r="K69" s="83">
        <f t="shared" si="58"/>
        <v>1552.267985</v>
      </c>
      <c r="L69" s="123">
        <f t="shared" si="58"/>
        <v>1598.836025</v>
      </c>
      <c r="M69" s="26">
        <f t="shared" si="52"/>
        <v>1.03</v>
      </c>
    </row>
    <row r="70" ht="30.75" customHeight="1">
      <c r="B70" s="75"/>
      <c r="C70" s="151" t="s">
        <v>130</v>
      </c>
      <c r="D70" s="39" t="s">
        <v>18</v>
      </c>
      <c r="E70" s="47">
        <f t="shared" ref="E70:L70" si="59">50*E77/E73</f>
        <v>169.0121703</v>
      </c>
      <c r="F70" s="47">
        <f t="shared" si="59"/>
        <v>914.7610959</v>
      </c>
      <c r="G70" s="47">
        <f t="shared" si="59"/>
        <v>9240.326806</v>
      </c>
      <c r="H70" s="47">
        <f t="shared" si="59"/>
        <v>24739.00178</v>
      </c>
      <c r="I70" s="47">
        <f t="shared" si="59"/>
        <v>69555.75067</v>
      </c>
      <c r="J70" s="47">
        <f t="shared" si="59"/>
        <v>142421.1375</v>
      </c>
      <c r="K70" s="47">
        <f t="shared" si="59"/>
        <v>196115.3956</v>
      </c>
      <c r="L70" s="47">
        <f t="shared" si="59"/>
        <v>392461.5116</v>
      </c>
      <c r="M70" s="26">
        <f t="shared" si="52"/>
        <v>3.025797575</v>
      </c>
      <c r="N70" s="21" t="s">
        <v>131</v>
      </c>
    </row>
    <row r="71">
      <c r="B71" s="75"/>
      <c r="C71" s="152" t="s">
        <v>132</v>
      </c>
      <c r="D71" s="153"/>
      <c r="E71" s="121">
        <f t="shared" ref="E71:L71" si="60">E70/(365/2)/24*1000000</f>
        <v>38587.2535</v>
      </c>
      <c r="F71" s="121">
        <f t="shared" si="60"/>
        <v>208849.5653</v>
      </c>
      <c r="G71" s="121">
        <f t="shared" si="60"/>
        <v>2109663.654</v>
      </c>
      <c r="H71" s="121">
        <f t="shared" si="60"/>
        <v>5648173.922</v>
      </c>
      <c r="I71" s="121">
        <f t="shared" si="60"/>
        <v>15880308.37</v>
      </c>
      <c r="J71" s="121">
        <f t="shared" si="60"/>
        <v>32516241.44</v>
      </c>
      <c r="K71" s="121">
        <f t="shared" si="60"/>
        <v>44775204.47</v>
      </c>
      <c r="L71" s="121">
        <f t="shared" si="60"/>
        <v>89603084.83</v>
      </c>
      <c r="M71" s="154">
        <f t="shared" si="52"/>
        <v>3.025797575</v>
      </c>
      <c r="N71" s="1"/>
    </row>
    <row r="72">
      <c r="B72" s="75"/>
      <c r="C72" s="151" t="s">
        <v>133</v>
      </c>
      <c r="D72" s="132" t="s">
        <v>18</v>
      </c>
      <c r="E72" s="41">
        <f t="shared" ref="E72:L72" si="61">E53*1000000000000000</f>
        <v>1E+15</v>
      </c>
      <c r="F72" s="41">
        <f t="shared" si="61"/>
        <v>1E+15</v>
      </c>
      <c r="G72" s="41">
        <f t="shared" si="61"/>
        <v>1.4997E+15</v>
      </c>
      <c r="H72" s="41">
        <f t="shared" si="61"/>
        <v>1.4997E+15</v>
      </c>
      <c r="I72" s="41">
        <f t="shared" si="61"/>
        <v>2.30769E+15</v>
      </c>
      <c r="J72" s="41">
        <f t="shared" si="61"/>
        <v>2.30769E+15</v>
      </c>
      <c r="K72" s="41">
        <f t="shared" si="61"/>
        <v>4.16667E+15</v>
      </c>
      <c r="L72" s="41">
        <f t="shared" si="61"/>
        <v>4.16667E+15</v>
      </c>
      <c r="M72" s="26">
        <f t="shared" si="52"/>
        <v>1.226143362</v>
      </c>
      <c r="N72" s="21" t="s">
        <v>23</v>
      </c>
    </row>
    <row r="73">
      <c r="B73" s="75"/>
      <c r="C73" s="146" t="s">
        <v>134</v>
      </c>
      <c r="D73" s="132"/>
      <c r="E73" s="96">
        <f>1.26^2*E53</f>
        <v>1.5876</v>
      </c>
      <c r="F73" s="96">
        <f t="shared" ref="F73:L73" si="62">$E73*F53</f>
        <v>1.5876</v>
      </c>
      <c r="G73" s="96">
        <f t="shared" si="62"/>
        <v>2.380923815</v>
      </c>
      <c r="H73" s="96">
        <f t="shared" si="62"/>
        <v>2.380923815</v>
      </c>
      <c r="I73" s="96">
        <f t="shared" si="62"/>
        <v>3.663692308</v>
      </c>
      <c r="J73" s="96">
        <f t="shared" si="62"/>
        <v>3.663692308</v>
      </c>
      <c r="K73" s="96">
        <f t="shared" si="62"/>
        <v>6.615</v>
      </c>
      <c r="L73" s="96">
        <f t="shared" si="62"/>
        <v>6.615</v>
      </c>
      <c r="M73" s="26">
        <f t="shared" si="52"/>
        <v>1.226143362</v>
      </c>
      <c r="N73" s="21" t="s">
        <v>135</v>
      </c>
    </row>
    <row r="74">
      <c r="B74" s="75"/>
      <c r="C74" s="146" t="s">
        <v>136</v>
      </c>
      <c r="D74" s="132" t="s">
        <v>18</v>
      </c>
      <c r="E74" s="67">
        <f t="shared" ref="E74:L74" si="63">E71/(E69*1000000)</f>
        <v>0.00002968250269</v>
      </c>
      <c r="F74" s="67">
        <f t="shared" si="63"/>
        <v>0.0001559742833</v>
      </c>
      <c r="G74" s="67">
        <f t="shared" si="63"/>
        <v>0.001529661792</v>
      </c>
      <c r="H74" s="67">
        <f t="shared" si="63"/>
        <v>0.003976060966</v>
      </c>
      <c r="I74" s="67">
        <f t="shared" si="63"/>
        <v>0.01085342177</v>
      </c>
      <c r="J74" s="67">
        <f t="shared" si="63"/>
        <v>0.02157599654</v>
      </c>
      <c r="K74" s="67">
        <f t="shared" si="63"/>
        <v>0.02884502218</v>
      </c>
      <c r="L74" s="67">
        <f t="shared" si="63"/>
        <v>0.0560426982</v>
      </c>
      <c r="M74" s="26">
        <f t="shared" si="52"/>
        <v>2.937667549</v>
      </c>
    </row>
    <row r="75">
      <c r="B75" s="77"/>
      <c r="C75" s="155" t="s">
        <v>137</v>
      </c>
      <c r="D75" s="156" t="s">
        <v>18</v>
      </c>
      <c r="E75" s="99">
        <f t="shared" ref="E75:L75" si="64">E70/(31097*0.5)</f>
        <v>0.01086999841</v>
      </c>
      <c r="F75" s="99">
        <f t="shared" si="64"/>
        <v>0.05883275531</v>
      </c>
      <c r="G75" s="99">
        <f t="shared" si="64"/>
        <v>0.5942905622</v>
      </c>
      <c r="H75" s="99">
        <f t="shared" si="64"/>
        <v>1.591086071</v>
      </c>
      <c r="I75" s="99">
        <f t="shared" si="64"/>
        <v>4.473470153</v>
      </c>
      <c r="J75" s="99">
        <f t="shared" si="64"/>
        <v>9.159799177</v>
      </c>
      <c r="K75" s="99">
        <f t="shared" si="64"/>
        <v>12.61313925</v>
      </c>
      <c r="L75" s="99">
        <f t="shared" si="64"/>
        <v>25.24111725</v>
      </c>
      <c r="M75" s="26">
        <f t="shared" si="52"/>
        <v>3.025797575</v>
      </c>
      <c r="N75" s="4" t="s">
        <v>138</v>
      </c>
      <c r="O75" s="1"/>
    </row>
    <row r="76">
      <c r="B76" s="157" t="s">
        <v>139</v>
      </c>
      <c r="C76" s="158" t="s">
        <v>140</v>
      </c>
      <c r="D76" s="81" t="s">
        <v>18</v>
      </c>
      <c r="E76" s="82">
        <f t="shared" ref="E76:L76" si="65">E66*0.5*0.4</f>
        <v>1.18062E+26</v>
      </c>
      <c r="F76" s="82">
        <f t="shared" si="65"/>
        <v>6.39001E+26</v>
      </c>
      <c r="G76" s="82">
        <f t="shared" si="65"/>
        <v>9.68023E+27</v>
      </c>
      <c r="H76" s="82">
        <f t="shared" si="65"/>
        <v>2.59167E+28</v>
      </c>
      <c r="I76" s="82">
        <f t="shared" si="65"/>
        <v>1.12126E+29</v>
      </c>
      <c r="J76" s="82">
        <f t="shared" si="65"/>
        <v>2.29586E+29</v>
      </c>
      <c r="K76" s="82">
        <f t="shared" si="65"/>
        <v>5.70813E+29</v>
      </c>
      <c r="L76" s="82">
        <f t="shared" si="65"/>
        <v>1.1423E+30</v>
      </c>
      <c r="M76" s="37">
        <f t="shared" si="52"/>
        <v>3.71006161</v>
      </c>
      <c r="N76" s="45" t="s">
        <v>141</v>
      </c>
    </row>
    <row r="77">
      <c r="B77" s="75"/>
      <c r="C77" s="159" t="s">
        <v>142</v>
      </c>
      <c r="D77" s="39" t="s">
        <v>18</v>
      </c>
      <c r="E77" s="40">
        <f t="shared" ref="E77:L77" si="66">E76/2.2E+25</f>
        <v>5.366474432</v>
      </c>
      <c r="F77" s="40">
        <f t="shared" si="66"/>
        <v>29.04549432</v>
      </c>
      <c r="G77" s="40">
        <f t="shared" si="66"/>
        <v>440.0102831</v>
      </c>
      <c r="H77" s="40">
        <f t="shared" si="66"/>
        <v>1178.03357</v>
      </c>
      <c r="I77" s="40">
        <f t="shared" si="66"/>
        <v>5096.617374</v>
      </c>
      <c r="J77" s="40">
        <f t="shared" si="66"/>
        <v>10435.74452</v>
      </c>
      <c r="K77" s="40">
        <f t="shared" si="66"/>
        <v>25946.06684</v>
      </c>
      <c r="L77" s="160">
        <f t="shared" si="66"/>
        <v>51922.65798</v>
      </c>
      <c r="M77" s="26">
        <f t="shared" si="52"/>
        <v>3.71006161</v>
      </c>
      <c r="N77" s="45" t="s">
        <v>143</v>
      </c>
    </row>
    <row r="78">
      <c r="B78" s="77"/>
      <c r="C78" s="161" t="s">
        <v>144</v>
      </c>
      <c r="D78" s="156" t="s">
        <v>18</v>
      </c>
      <c r="E78" s="162"/>
      <c r="F78" s="162" t="s">
        <v>145</v>
      </c>
      <c r="G78" s="162" t="s">
        <v>146</v>
      </c>
      <c r="H78" s="163" t="s">
        <v>147</v>
      </c>
      <c r="I78" s="164"/>
      <c r="J78" s="163" t="s">
        <v>148</v>
      </c>
      <c r="K78" s="164"/>
      <c r="L78" s="165" t="s">
        <v>149</v>
      </c>
      <c r="M78" s="166" t="s">
        <v>18</v>
      </c>
      <c r="N78" s="45" t="s">
        <v>150</v>
      </c>
    </row>
    <row r="79">
      <c r="B79" s="167"/>
      <c r="C79" s="168"/>
      <c r="D79" s="169"/>
      <c r="E79" s="170"/>
      <c r="F79" s="170"/>
      <c r="G79" s="170"/>
      <c r="H79" s="170"/>
      <c r="I79" s="170"/>
      <c r="J79" s="170"/>
      <c r="K79" s="170"/>
      <c r="L79" s="170"/>
      <c r="M79" s="171"/>
    </row>
    <row r="80">
      <c r="B80" s="172"/>
      <c r="C80" s="173"/>
      <c r="F80" s="174"/>
      <c r="H80" s="174"/>
      <c r="K80" s="174"/>
    </row>
    <row r="82">
      <c r="C82" s="175"/>
      <c r="D82" s="13"/>
    </row>
    <row r="83">
      <c r="C83" s="27"/>
    </row>
    <row r="84">
      <c r="C84" s="27"/>
    </row>
    <row r="85">
      <c r="C85" s="27"/>
    </row>
    <row r="86">
      <c r="C86" s="27"/>
    </row>
    <row r="87">
      <c r="C87" s="27"/>
    </row>
    <row r="88">
      <c r="C88" s="27"/>
    </row>
    <row r="90">
      <c r="C90" s="11"/>
    </row>
    <row r="93">
      <c r="C93" s="44"/>
    </row>
  </sheetData>
  <mergeCells count="12">
    <mergeCell ref="B66:B68"/>
    <mergeCell ref="B69:B75"/>
    <mergeCell ref="B76:B78"/>
    <mergeCell ref="H78:I78"/>
    <mergeCell ref="J78:K78"/>
    <mergeCell ref="D2:F2"/>
    <mergeCell ref="G2:I2"/>
    <mergeCell ref="B25:B27"/>
    <mergeCell ref="N25:N30"/>
    <mergeCell ref="B28:B30"/>
    <mergeCell ref="B32:B33"/>
    <mergeCell ref="B58:B61"/>
  </mergeCells>
  <dataValidations>
    <dataValidation type="list" allowBlank="1" showErrorMessage="1" sqref="K1">
      <formula1>"FP8,FP16"</formula1>
    </dataValidation>
  </dataValidations>
  <hyperlinks>
    <hyperlink r:id="rId1" location="heading=h.83r8skidkphq" ref="G2"/>
    <hyperlink r:id="rId2" ref="N4"/>
    <hyperlink r:id="rId3" ref="N7"/>
    <hyperlink r:id="rId4" location=":~:text=The%20DigiTimes%20report%20is%20quite,mark%20a%2025%25%20production%20increase." ref="N9"/>
    <hyperlink r:id="rId5" location=":~:text=key%20cast%20members-,TSMC%20confirms%20that%20Mass%20Production%20of%202nm%20Processors%20will%20begin,both%20density%20and%20energy%20efficiency" ref="N10"/>
    <hyperlink r:id="rId6" ref="N17"/>
    <hyperlink r:id="rId7" ref="N22"/>
    <hyperlink r:id="rId8" ref="N23"/>
    <hyperlink r:id="rId9" ref="N24"/>
    <hyperlink r:id="rId10" ref="N25"/>
    <hyperlink r:id="rId11" ref="N53"/>
    <hyperlink r:id="rId12" ref="N56"/>
    <hyperlink r:id="rId13" location=":~:text=The%20Cost%20of%20Training%20GPT%2D4&amp;text=OpenAI%20has%20revealed%20that%20it,of%20energy%20usage%20during%20training." ref="N70"/>
    <hyperlink r:id="rId14" ref="N72"/>
    <hyperlink r:id="rId15" ref="N73"/>
  </hyperlinks>
  <printOptions gridLines="1" horizontalCentered="1"/>
  <pageMargins bottom="0.75" footer="0.0" header="0.0" left="0.25" right="0.25" top="0.75"/>
  <pageSetup cellComments="atEnd" orientation="landscape" pageOrder="overThenDown"/>
  <drawing r:id="rId16"/>
</worksheet>
</file>